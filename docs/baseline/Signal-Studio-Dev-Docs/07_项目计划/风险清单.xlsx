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风险清单" sheetId="1" r:id="rId1"/>
    <sheet name="统计" sheetId="2" r:id="rId2"/>
    <sheet name="说明" sheetId="3" r:id="rId3"/>
  </sheets>
  <definedNames>
    <definedName name="_xlnm._FilterDatabase" localSheetId="0" hidden="1">风险清单!$A$1:$I$13</definedName>
    <definedName name="_xlnm._FilterDatabase" localSheetId="1" hidden="1">统计!$A$1:$B$4</definedName>
    <definedName name="_xlnm._FilterDatabase" localSheetId="2" hidden="1">说明!$A$1:$B$4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<sst xmlns="http://schemas.openxmlformats.org/spreadsheetml/2006/main" count="127" uniqueCount="96">
  <si>
    <t>风险ID</t>
  </si>
  <si>
    <t>等级</t>
  </si>
  <si>
    <t>风险</t>
  </si>
  <si>
    <t>类别</t>
  </si>
  <si>
    <t>应对</t>
  </si>
  <si>
    <t>验证/触发</t>
  </si>
  <si>
    <t>责任角色</t>
  </si>
  <si>
    <t>关闭里程碑</t>
  </si>
  <si>
    <t>状态</t>
  </si>
  <si>
    <t>RISK-001</t>
  </si>
  <si>
    <t>高</t>
  </si>
  <si>
    <t>FFTW GPL 与闭源交付冲突</t>
  </si>
  <si>
    <t>法律/依赖</t>
  </si>
  <si>
    <t>选 oneMKL；FFTW 仅 GPL 配置</t>
  </si>
  <si>
    <t>许可证审计门禁</t>
  </si>
  <si>
    <t>架构负责人</t>
  </si>
  <si>
    <t>MS-00</t>
  </si>
  <si>
    <t>开放</t>
  </si>
  <si>
    <t>RISK-002</t>
  </si>
  <si>
    <t>跨数据源对象污染导致错误结论</t>
  </si>
  <si>
    <t>数据正确性</t>
  </si>
  <si>
    <t>DataSourceVersionId 强制外键</t>
  </si>
  <si>
    <t>AT-21</t>
  </si>
  <si>
    <t>数据负责人</t>
  </si>
  <si>
    <t>MS-04</t>
  </si>
  <si>
    <t>RISK-003</t>
  </si>
  <si>
    <t>部分读取被误认为完整文件</t>
  </si>
  <si>
    <t>任务与数据状态正交</t>
  </si>
  <si>
    <t>AT-19</t>
  </si>
  <si>
    <t>任务负责人</t>
  </si>
  <si>
    <t>MS-01</t>
  </si>
  <si>
    <t>RISK-004</t>
  </si>
  <si>
    <t>CPU/GPU 数值或归一化不一致</t>
  </si>
  <si>
    <t>算法</t>
  </si>
  <si>
    <t>黄金数据、误差预算、后端一致性</t>
  </si>
  <si>
    <t>NUM/性能测试</t>
  </si>
  <si>
    <t>DSP负责人</t>
  </si>
  <si>
    <t>MS-02</t>
  </si>
  <si>
    <t>RISK-005</t>
  </si>
  <si>
    <t>SDK ABI 被编译器或第三方类型破坏</t>
  </si>
  <si>
    <t>兼容</t>
  </si>
  <si>
    <t>C ABI、PIMPL、abi-compliance-checker</t>
  </si>
  <si>
    <t>兼容矩阵</t>
  </si>
  <si>
    <t>SDK负责人</t>
  </si>
  <si>
    <t>MS-06</t>
  </si>
  <si>
    <t>RISK-006</t>
  </si>
  <si>
    <t>平台被 Signal Studio 特例反向污染</t>
  </si>
  <si>
    <t>架构</t>
  </si>
  <si>
    <t>依赖规则和第二宿主门禁</t>
  </si>
  <si>
    <t>架构静态校验</t>
  </si>
  <si>
    <t>MS-08</t>
  </si>
  <si>
    <t>RISK-007</t>
  </si>
  <si>
    <t>中</t>
  </si>
  <si>
    <t>超大文件索引耗尽磁盘</t>
  </si>
  <si>
    <t>性能</t>
  </si>
  <si>
    <t>配额/LRU/可恢复瓦片</t>
  </si>
  <si>
    <t>故障注入</t>
  </si>
  <si>
    <t>RISK-008</t>
  </si>
  <si>
    <t>CUDA/驱动/ONNX EP 组合不兼容</t>
  </si>
  <si>
    <t>部署</t>
  </si>
  <si>
    <t>能力探测和CPU回退</t>
  </si>
  <si>
    <t>设备矩阵</t>
  </si>
  <si>
    <t>计算负责人</t>
  </si>
  <si>
    <t>MS-07</t>
  </si>
  <si>
    <t>RISK-009</t>
  </si>
  <si>
    <t>Qt Graphs/QCustomPlot 许可证或性能不满足</t>
  </si>
  <si>
    <t>UI依赖</t>
  </si>
  <si>
    <t>适配层；基准后冻结</t>
  </si>
  <si>
    <t>绘制基准</t>
  </si>
  <si>
    <t>UI负责人</t>
  </si>
  <si>
    <t>MS-03</t>
  </si>
  <si>
    <t>RISK-010</t>
  </si>
  <si>
    <t>大规模 D1-D4 数据缺失</t>
  </si>
  <si>
    <t>测试</t>
  </si>
  <si>
    <t>脚本生成、哈希登记、受控存储</t>
  </si>
  <si>
    <t>数据清单</t>
  </si>
  <si>
    <t>测试负责人</t>
  </si>
  <si>
    <t>RISK-011</t>
  </si>
  <si>
    <t>插件崩溃或越权</t>
  </si>
  <si>
    <t>安全</t>
  </si>
  <si>
    <t>签名/权限/进程隔离/安全模式</t>
  </si>
  <si>
    <t>RISK-012</t>
  </si>
  <si>
    <t>高 DPI 紧凑布局命中区不足</t>
  </si>
  <si>
    <t>可用性</t>
  </si>
  <si>
    <t>28px透明命中和DPI矩阵</t>
  </si>
  <si>
    <t>AT-24</t>
  </si>
  <si>
    <t>指标</t>
  </si>
  <si>
    <t>公式</t>
  </si>
  <si>
    <t>风险总数</t>
  </si>
  <si>
    <t>高风险数</t>
  </si>
  <si>
    <t>开放风险数</t>
  </si>
  <si>
    <t>风险登记册</t>
  </si>
  <si>
    <t>内容</t>
  </si>
  <si>
    <t>高风险每个里程碑复评。</t>
  </si>
  <si>
    <t>关闭必须附验证证据，不以口头确认代替。</t>
  </si>
  <si>
    <t>许可证、ABI、来源错配均视作发布门禁。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</si>
</sst>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1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23A5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B7C9D6"/>
      </bottom>
      <diagonal/>
    </border>
    <border>
      <left/>
      <right/>
      <top/>
      <bottom style="hair">
        <color rgb="FFE3EAF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showGridLines="0"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1" width="14" customWidth="1"/>
    <col min="2" max="2" width="10" customWidth="1"/>
    <col min="3" max="3" width="42" customWidth="1"/>
    <col min="4" max="4" width="18" customWidth="1"/>
    <col min="5" max="5" width="50" customWidth="1"/>
    <col min="6" max="6" width="35" customWidth="1"/>
    <col min="7" max="7" width="18" customWidth="1"/>
    <col min="8" max="8" width="14" customWidth="1"/>
    <col min="9" max="9" width="12" customWidth="1"/>
  </cols>
  <sheetData>
    <row r="1" ht="30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5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ht="14.5" spans="1:9">
      <c r="A3" s="2" t="s">
        <v>18</v>
      </c>
      <c r="B3" s="2" t="s">
        <v>10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17</v>
      </c>
    </row>
    <row r="4" ht="14.5" spans="1:9">
      <c r="A4" s="2" t="s">
        <v>25</v>
      </c>
      <c r="B4" s="2" t="s">
        <v>10</v>
      </c>
      <c r="C4" s="2" t="s">
        <v>26</v>
      </c>
      <c r="D4" s="2" t="s">
        <v>20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17</v>
      </c>
    </row>
    <row r="5" ht="14.5" spans="1:9">
      <c r="A5" s="2" t="s">
        <v>31</v>
      </c>
      <c r="B5" s="2" t="s">
        <v>10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36</v>
      </c>
      <c r="H5" s="2" t="s">
        <v>37</v>
      </c>
      <c r="I5" s="2" t="s">
        <v>17</v>
      </c>
    </row>
    <row r="6" ht="14.5" spans="1:9">
      <c r="A6" s="2" t="s">
        <v>38</v>
      </c>
      <c r="B6" s="2" t="s">
        <v>10</v>
      </c>
      <c r="C6" s="2" t="s">
        <v>39</v>
      </c>
      <c r="D6" s="2" t="s">
        <v>40</v>
      </c>
      <c r="E6" s="2" t="s">
        <v>41</v>
      </c>
      <c r="F6" s="2" t="s">
        <v>42</v>
      </c>
      <c r="G6" s="2" t="s">
        <v>43</v>
      </c>
      <c r="H6" s="2" t="s">
        <v>44</v>
      </c>
      <c r="I6" s="2" t="s">
        <v>17</v>
      </c>
    </row>
    <row r="7" ht="14.5" spans="1:9">
      <c r="A7" s="2" t="s">
        <v>45</v>
      </c>
      <c r="B7" s="2" t="s">
        <v>10</v>
      </c>
      <c r="C7" s="2" t="s">
        <v>46</v>
      </c>
      <c r="D7" s="2" t="s">
        <v>47</v>
      </c>
      <c r="E7" s="2" t="s">
        <v>48</v>
      </c>
      <c r="F7" s="2" t="s">
        <v>49</v>
      </c>
      <c r="G7" s="2" t="s">
        <v>15</v>
      </c>
      <c r="H7" s="2" t="s">
        <v>50</v>
      </c>
      <c r="I7" s="2" t="s">
        <v>17</v>
      </c>
    </row>
    <row r="8" ht="14.5" spans="1:9">
      <c r="A8" s="2" t="s">
        <v>51</v>
      </c>
      <c r="B8" s="2" t="s">
        <v>52</v>
      </c>
      <c r="C8" s="2" t="s">
        <v>53</v>
      </c>
      <c r="D8" s="2" t="s">
        <v>54</v>
      </c>
      <c r="E8" s="2" t="s">
        <v>55</v>
      </c>
      <c r="F8" s="2" t="s">
        <v>56</v>
      </c>
      <c r="G8" s="2" t="s">
        <v>23</v>
      </c>
      <c r="H8" s="2" t="s">
        <v>24</v>
      </c>
      <c r="I8" s="2" t="s">
        <v>17</v>
      </c>
    </row>
    <row r="9" ht="14.5" spans="1:9">
      <c r="A9" s="2" t="s">
        <v>57</v>
      </c>
      <c r="B9" s="2" t="s">
        <v>52</v>
      </c>
      <c r="C9" s="2" t="s">
        <v>58</v>
      </c>
      <c r="D9" s="2" t="s">
        <v>59</v>
      </c>
      <c r="E9" s="2" t="s">
        <v>60</v>
      </c>
      <c r="F9" s="2" t="s">
        <v>61</v>
      </c>
      <c r="G9" s="2" t="s">
        <v>62</v>
      </c>
      <c r="H9" s="2" t="s">
        <v>63</v>
      </c>
      <c r="I9" s="2" t="s">
        <v>17</v>
      </c>
    </row>
    <row r="10" ht="14.5" spans="1:9">
      <c r="A10" s="2" t="s">
        <v>64</v>
      </c>
      <c r="B10" s="2" t="s">
        <v>52</v>
      </c>
      <c r="C10" s="2" t="s">
        <v>65</v>
      </c>
      <c r="D10" s="2" t="s">
        <v>66</v>
      </c>
      <c r="E10" s="2" t="s">
        <v>67</v>
      </c>
      <c r="F10" s="2" t="s">
        <v>68</v>
      </c>
      <c r="G10" s="2" t="s">
        <v>69</v>
      </c>
      <c r="H10" s="2" t="s">
        <v>70</v>
      </c>
      <c r="I10" s="2" t="s">
        <v>17</v>
      </c>
    </row>
    <row r="11" ht="14.5" spans="1:9">
      <c r="A11" s="2" t="s">
        <v>71</v>
      </c>
      <c r="B11" s="2" t="s">
        <v>52</v>
      </c>
      <c r="C11" s="2" t="s">
        <v>72</v>
      </c>
      <c r="D11" s="2" t="s">
        <v>73</v>
      </c>
      <c r="E11" s="2" t="s">
        <v>74</v>
      </c>
      <c r="F11" s="2" t="s">
        <v>75</v>
      </c>
      <c r="G11" s="2" t="s">
        <v>76</v>
      </c>
      <c r="H11" s="2" t="s">
        <v>16</v>
      </c>
      <c r="I11" s="2" t="s">
        <v>17</v>
      </c>
    </row>
    <row r="12" ht="14.5" spans="1:9">
      <c r="A12" s="2" t="s">
        <v>77</v>
      </c>
      <c r="B12" s="2" t="s">
        <v>52</v>
      </c>
      <c r="C12" s="2" t="s">
        <v>78</v>
      </c>
      <c r="D12" s="2" t="s">
        <v>79</v>
      </c>
      <c r="E12" s="2" t="s">
        <v>80</v>
      </c>
      <c r="F12" s="2" t="s">
        <v>56</v>
      </c>
      <c r="G12" s="2" t="s">
        <v>43</v>
      </c>
      <c r="H12" s="2" t="s">
        <v>44</v>
      </c>
      <c r="I12" s="2" t="s">
        <v>17</v>
      </c>
    </row>
    <row r="13" ht="14.5" spans="1:9">
      <c r="A13" s="2" t="s">
        <v>81</v>
      </c>
      <c r="B13" s="2" t="s">
        <v>52</v>
      </c>
      <c r="C13" s="2" t="s">
        <v>82</v>
      </c>
      <c r="D13" s="2" t="s">
        <v>83</v>
      </c>
      <c r="E13" s="2" t="s">
        <v>84</v>
      </c>
      <c r="F13" s="2" t="s">
        <v>85</v>
      </c>
      <c r="G13" s="2" t="s">
        <v>69</v>
      </c>
      <c r="H13" s="2" t="s">
        <v>70</v>
      </c>
      <c r="I13" s="2" t="s">
        <v>17</v>
      </c>
    </row>
  </sheetData>
  <autoFilter xmlns:etc="http://www.wps.cn/officeDocument/2017/etCustomData" ref="A1:I13" etc:filterBottomFollowUsedRange="0">
    <extLst/>
  </autoFilter>
  <dataValidations count="1">
    <dataValidation type="list" sqref="I2:I13">
      <formula1>"开放,缓解中,已接受,已关闭"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3" outlineLevelCol="1"/>
  <cols>
    <col min="1" max="1" width="28" customWidth="1"/>
    <col min="2" max="2" width="18" customWidth="1"/>
  </cols>
  <sheetData>
    <row r="1" ht="30" customHeight="1" spans="1:2">
      <c r="A1" s="1" t="s">
        <v>86</v>
      </c>
      <c r="B1" s="1" t="s">
        <v>87</v>
      </c>
    </row>
    <row r="2" ht="14.5" spans="1:2">
      <c r="A2" s="2" t="s">
        <v>88</v>
      </c>
      <c r="B2" s="2">
        <f>COUNTA(风险清单!A2:A13)</f>
        <v>12</v>
      </c>
    </row>
    <row r="3" ht="14.5" spans="1:2">
      <c r="A3" s="2" t="s">
        <v>89</v>
      </c>
      <c r="B3" s="2">
        <f>COUNTIF(风险清单!B2:B13,"高")</f>
        <v>6</v>
      </c>
    </row>
    <row r="4" ht="14.5" spans="1:2">
      <c r="A4" s="2" t="s">
        <v>90</v>
      </c>
      <c r="B4" s="2">
        <f>COUNTIF(风险清单!I2:I13,"开放")</f>
        <v>12</v>
      </c>
    </row>
  </sheetData>
  <autoFilter xmlns:etc="http://www.wps.cn/officeDocument/2017/etCustomData" ref="A1:B4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3" outlineLevelCol="1"/>
  <cols>
    <col min="1" max="1" width="12" customWidth="1"/>
    <col min="2" max="2" width="110" customWidth="1"/>
  </cols>
  <sheetData>
    <row r="1" ht="30" customHeight="1" spans="1:2">
      <c r="A1" s="1" t="s">
        <v>91</v>
      </c>
      <c r="B1" s="1" t="s">
        <v>92</v>
      </c>
    </row>
    <row r="2" ht="14.5" spans="1:2">
      <c r="A2" s="2">
        <v>1</v>
      </c>
      <c r="B2" s="2" t="s">
        <v>93</v>
      </c>
    </row>
    <row r="3" ht="14.5" spans="1:2">
      <c r="A3" s="2">
        <v>2</v>
      </c>
      <c r="B3" s="2" t="s">
        <v>94</v>
      </c>
    </row>
    <row r="4" ht="14.5" spans="1:2">
      <c r="A4" s="2">
        <v>3</v>
      </c>
      <c r="B4" s="2" t="s">
        <v>95</v>
      </c>
    </row>
  </sheetData>
  <autoFilter xmlns:etc="http://www.wps.cn/officeDocument/2017/etCustomData" ref="A1:B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风险清单</vt:lpstr>
      <vt:lpstr>统计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Huang Hao</cp:lastModifiedBy>
  <dcterms:created xsi:type="dcterms:W3CDTF">2026-07-22T06:10:00Z</dcterms:created>
  <dcterms:modified xsi:type="dcterms:W3CDTF">2026-07-22T06:10:53Z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213B17340EEF4143A7551DDD0E4FC89A_12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