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WBS" sheetId="1" r:id="rId1"/>
    <sheet name="统计" sheetId="2" r:id="rId2"/>
    <sheet name="说明" sheetId="3" r:id="rId3"/>
  </sheets>
  <definedNames>
    <definedName name="_xlnm._FilterDatabase" localSheetId="0" hidden="1">WBS!$A$1:$O$54</definedName>
    <definedName name="_xlnm._FilterDatabase" localSheetId="1" hidden="1">统计!$A$1:$B$4</definedName>
    <definedName name="_xlnm._FilterDatabase" localSheetId="2" hidden="1">说明!$A$1:$B$4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<sst xmlns="http://schemas.openxmlformats.org/spreadsheetml/2006/main" count="767" uniqueCount="250">
  <si>
    <t>WBS</t>
  </si>
  <si>
    <t>工作包</t>
  </si>
  <si>
    <t>所属基础库</t>
  </si>
  <si>
    <t>所属应用</t>
  </si>
  <si>
    <t>可复用目标</t>
  </si>
  <si>
    <t>API/ABI影响</t>
  </si>
  <si>
    <t>SDK影响</t>
  </si>
  <si>
    <t>第三方依赖</t>
  </si>
  <si>
    <t>独立测试</t>
  </si>
  <si>
    <t>发布包</t>
  </si>
  <si>
    <t>里程碑</t>
  </si>
  <si>
    <t>前置WBS</t>
  </si>
  <si>
    <t>估算人周</t>
  </si>
  <si>
    <t>验收输出</t>
  </si>
  <si>
    <t>状态</t>
  </si>
  <si>
    <t>WBS-1.01</t>
  </si>
  <si>
    <t>Result与错误</t>
  </si>
  <si>
    <t>SignalCore</t>
  </si>
  <si>
    <t>平台</t>
  </si>
  <si>
    <t>全部应用、Headless CLI</t>
  </si>
  <si>
    <t>公开契约评审</t>
  </si>
  <si>
    <t>可能</t>
  </si>
  <si>
    <t>见依赖锁定</t>
  </si>
  <si>
    <t>模块内单元测试 + 公共契约测试 + 至少一个适配器集成测试</t>
  </si>
  <si>
    <t>signalcore-dev/runtime</t>
  </si>
  <si>
    <t>MS-01</t>
  </si>
  <si>
    <t/>
  </si>
  <si>
    <t>LIB-CORE-001 API、测试和包</t>
  </si>
  <si>
    <t>计划中</t>
  </si>
  <si>
    <t>WBS-1.02</t>
  </si>
  <si>
    <t>单位与版本</t>
  </si>
  <si>
    <t>WBS-0.01</t>
  </si>
  <si>
    <t>LIB-CORE-002 API、测试和包</t>
  </si>
  <si>
    <t>WBS-1.03</t>
  </si>
  <si>
    <t>日志与配置</t>
  </si>
  <si>
    <t>LIB-CORE-003 API、测试和包</t>
  </si>
  <si>
    <t>WBS-1.04</t>
  </si>
  <si>
    <t>路径与校验</t>
  </si>
  <si>
    <t>LIB-CORE-004 API、测试和包</t>
  </si>
  <si>
    <t>WBS-1.05</t>
  </si>
  <si>
    <t>序列化与能力探测</t>
  </si>
  <si>
    <t>LIB-CORE-005 API、测试和包</t>
  </si>
  <si>
    <t>WBS-1.06</t>
  </si>
  <si>
    <t>信号容器</t>
  </si>
  <si>
    <t>SignalData</t>
  </si>
  <si>
    <t>Signal Studio、Signal Generator、Dataset Builder、Dataset Manager、Model Trainer、Inference Studio</t>
  </si>
  <si>
    <t>signaldata-dev/runtime</t>
  </si>
  <si>
    <t>LIB-DATA-001 API、测试和包</t>
  </si>
  <si>
    <t>WBS-1.07</t>
  </si>
  <si>
    <t>描述符与范围</t>
  </si>
  <si>
    <t>LIB-DATA-002 API、测试和包</t>
  </si>
  <si>
    <t>WBS-1.08</t>
  </si>
  <si>
    <t>零拷贝切片</t>
  </si>
  <si>
    <t>LIB-DATA-003 API、测试和包</t>
  </si>
  <si>
    <t>WBS-1.09</t>
  </si>
  <si>
    <t>内存映射</t>
  </si>
  <si>
    <t>LIB-DATA-004 API、测试和包</t>
  </si>
  <si>
    <t>WBS-1.10</t>
  </si>
  <si>
    <t>格式适配与校验</t>
  </si>
  <si>
    <t>LIB-DATA-005 API、测试和包</t>
  </si>
  <si>
    <t>WBS-1.11</t>
  </si>
  <si>
    <t>FFT/PSD/STFT</t>
  </si>
  <si>
    <t>SignalDSP</t>
  </si>
  <si>
    <t>Signal Studio、Signal Generator、Dataset Builder、Model Trainer、Inference Studio</t>
  </si>
  <si>
    <t>signaldsp-dev/runtime</t>
  </si>
  <si>
    <t>MS-02</t>
  </si>
  <si>
    <t>LIB-DSP-001 API、测试和包</t>
  </si>
  <si>
    <t>WBS-1.12</t>
  </si>
  <si>
    <t>滤波</t>
  </si>
  <si>
    <t>LIB-DSP-002 API、测试和包</t>
  </si>
  <si>
    <t>WBS-1.13</t>
  </si>
  <si>
    <t>重采样</t>
  </si>
  <si>
    <t>LIB-DSP-003 API、测试和包</t>
  </si>
  <si>
    <t>WBS-1.14</t>
  </si>
  <si>
    <t>频移与包络</t>
  </si>
  <si>
    <t>LIB-DSP-004 API、测试和包</t>
  </si>
  <si>
    <t>WBS-1.15</t>
  </si>
  <si>
    <t>统计与同步</t>
  </si>
  <si>
    <t>LIB-DSP-005 API、测试和包</t>
  </si>
  <si>
    <t>WBS-1.16</t>
  </si>
  <si>
    <t>设备探测</t>
  </si>
  <si>
    <t>SignalCompute</t>
  </si>
  <si>
    <t>全部计算型应用</t>
  </si>
  <si>
    <t>signalcompute-dev/runtime</t>
  </si>
  <si>
    <t>LIB-CMP-001 API、测试和包</t>
  </si>
  <si>
    <t>WBS-1.17</t>
  </si>
  <si>
    <t>后端选择</t>
  </si>
  <si>
    <t>LIB-CMP-002 API、测试和包</t>
  </si>
  <si>
    <t>WBS-1.18</t>
  </si>
  <si>
    <t>计划缓存</t>
  </si>
  <si>
    <t>LIB-CMP-003 API、测试和包</t>
  </si>
  <si>
    <t>WBS-1.19</t>
  </si>
  <si>
    <t>内存池</t>
  </si>
  <si>
    <t>LIB-CMP-004 API、测试和包</t>
  </si>
  <si>
    <t>WBS-1.20</t>
  </si>
  <si>
    <t>一致性与降级</t>
  </si>
  <si>
    <t>LIB-CMP-005 API、测试和包</t>
  </si>
  <si>
    <t>WBS-1.21</t>
  </si>
  <si>
    <t>队列与优先级</t>
  </si>
  <si>
    <t>SignalTaskRuntime</t>
  </si>
  <si>
    <t>全部应用、自动化测试运行器</t>
  </si>
  <si>
    <t>signaltaskruntime-dev/runtime</t>
  </si>
  <si>
    <t>LIB-TASK-001 API、测试和包</t>
  </si>
  <si>
    <t>WBS-1.22</t>
  </si>
  <si>
    <t>DAG依赖</t>
  </si>
  <si>
    <t>LIB-TASK-002 API、测试和包</t>
  </si>
  <si>
    <t>WBS-1.23</t>
  </si>
  <si>
    <t>暂停恢复取消</t>
  </si>
  <si>
    <t>LIB-TASK-003 API、测试和包</t>
  </si>
  <si>
    <t>WBS-1.24</t>
  </si>
  <si>
    <t>进度日志指标</t>
  </si>
  <si>
    <t>LIB-TASK-004 API、测试和包</t>
  </si>
  <si>
    <t>WBS-1.25</t>
  </si>
  <si>
    <t>恢复与历史</t>
  </si>
  <si>
    <t>LIB-TASK-005 API、测试和包</t>
  </si>
  <si>
    <t>WBS-1.26</t>
  </si>
  <si>
    <t>时域与导航</t>
  </si>
  <si>
    <t>SignalVisualization</t>
  </si>
  <si>
    <t>Signal Studio、Signal Generator、Model Evaluator、Inference Studio</t>
  </si>
  <si>
    <t>signalvisualization-dev/runtime</t>
  </si>
  <si>
    <t>MS-03</t>
  </si>
  <si>
    <t>LIB-VIS-001 API、测试和包</t>
  </si>
  <si>
    <t>WBS-1.27</t>
  </si>
  <si>
    <t>频谱与PSD</t>
  </si>
  <si>
    <t>LIB-VIS-002 API、测试和包</t>
  </si>
  <si>
    <t>WBS-1.28</t>
  </si>
  <si>
    <t>瀑布与时频</t>
  </si>
  <si>
    <t>LIB-VIS-003 API、测试和包</t>
  </si>
  <si>
    <t>WBS-1.29</t>
  </si>
  <si>
    <t>星座与眼图</t>
  </si>
  <si>
    <t>LIB-VIS-004 API、测试和包</t>
  </si>
  <si>
    <t>WBS-1.30</t>
  </si>
  <si>
    <t>视口覆盖层导出</t>
  </si>
  <si>
    <t>LIB-VIS-005 API、测试和包</t>
  </si>
  <si>
    <t>WBS-1.31</t>
  </si>
  <si>
    <t>应用框架</t>
  </si>
  <si>
    <t>SignalWorkbench</t>
  </si>
  <si>
    <t>全部桌面工具</t>
  </si>
  <si>
    <t>signalworkbench-dev/runtime</t>
  </si>
  <si>
    <t>LIB-WB-001 API、测试和包</t>
  </si>
  <si>
    <t>WBS-1.32</t>
  </si>
  <si>
    <t>Dock与Inspector</t>
  </si>
  <si>
    <t>LIB-WB-002 API、测试和包</t>
  </si>
  <si>
    <t>WBS-1.33</t>
  </si>
  <si>
    <t>任务结果中心</t>
  </si>
  <si>
    <t>LIB-WB-003 API、测试和包</t>
  </si>
  <si>
    <t>WBS-1.34</t>
  </si>
  <si>
    <t>命令与设置</t>
  </si>
  <si>
    <t>LIB-WB-004 API、测试和包</t>
  </si>
  <si>
    <t>WBS-1.35</t>
  </si>
  <si>
    <t>诊断主题DPI</t>
  </si>
  <si>
    <t>LIB-WB-005 API、测试和包</t>
  </si>
  <si>
    <t>WBS-1.36</t>
  </si>
  <si>
    <t>插件元数据</t>
  </si>
  <si>
    <t>SignalPluginSDK</t>
  </si>
  <si>
    <t>全部宿主、Headless CLI、自动化测试运行器</t>
  </si>
  <si>
    <t>signalpluginsdk-dev/runtime</t>
  </si>
  <si>
    <t>MS-06</t>
  </si>
  <si>
    <t>LIB-PLG-001 API、测试和包</t>
  </si>
  <si>
    <t>WBS-1.37</t>
  </si>
  <si>
    <t>版本化ABI</t>
  </si>
  <si>
    <t>LIB-PLG-002 API、测试和包</t>
  </si>
  <si>
    <t>WBS-1.38</t>
  </si>
  <si>
    <t>服务句柄</t>
  </si>
  <si>
    <t>LIB-PLG-003 API、测试和包</t>
  </si>
  <si>
    <t>WBS-1.39</t>
  </si>
  <si>
    <t>权限隔离</t>
  </si>
  <si>
    <t>LIB-PLG-004 API、测试和包</t>
  </si>
  <si>
    <t>WBS-1.40</t>
  </si>
  <si>
    <t>模板与契约测试</t>
  </si>
  <si>
    <t>LIB-PLG-005 API、测试和包</t>
  </si>
  <si>
    <t>WBS-1.41</t>
  </si>
  <si>
    <t>模型注册</t>
  </si>
  <si>
    <t>SignalModelRuntime</t>
  </si>
  <si>
    <t>Signal Studio、Model Trainer、Model Evaluator、Inference Studio</t>
  </si>
  <si>
    <t>signalmodelruntime-dev/runtime</t>
  </si>
  <si>
    <t>LIB-MODEL-001 API、测试和包</t>
  </si>
  <si>
    <t>WBS-1.42</t>
  </si>
  <si>
    <t>前后处理</t>
  </si>
  <si>
    <t>LIB-MODEL-002 API、测试和包</t>
  </si>
  <si>
    <t>WBS-1.43</t>
  </si>
  <si>
    <t>推理会话</t>
  </si>
  <si>
    <t>LIB-MODEL-003 API、测试和包</t>
  </si>
  <si>
    <t>WBS-1.44</t>
  </si>
  <si>
    <t>设备与批处理</t>
  </si>
  <si>
    <t>LIB-MODEL-004 API、测试和包</t>
  </si>
  <si>
    <t>WBS-1.45</t>
  </si>
  <si>
    <t>结果与性能</t>
  </si>
  <si>
    <t>LIB-MODEL-005 API、测试和包</t>
  </si>
  <si>
    <t>WBS-1.46</t>
  </si>
  <si>
    <t>清单索引</t>
  </si>
  <si>
    <t>SignalDataset</t>
  </si>
  <si>
    <t>Dataset Builder、Dataset Manager、Model Trainer、Model Evaluator</t>
  </si>
  <si>
    <t>signaldataset-dev/runtime</t>
  </si>
  <si>
    <t>LIB-DSET-001 API、测试和包</t>
  </si>
  <si>
    <t>WBS-1.47</t>
  </si>
  <si>
    <t>标签元数据</t>
  </si>
  <si>
    <t>LIB-DSET-002 API、测试和包</t>
  </si>
  <si>
    <t>WBS-1.48</t>
  </si>
  <si>
    <t>分片版本</t>
  </si>
  <si>
    <t>LIB-DSET-003 API、测试和包</t>
  </si>
  <si>
    <t>WBS-1.49</t>
  </si>
  <si>
    <t>划分统计查询</t>
  </si>
  <si>
    <t>LIB-DSET-004 API、测试和包</t>
  </si>
  <si>
    <t>WBS-1.50</t>
  </si>
  <si>
    <t>格式适配缓存</t>
  </si>
  <si>
    <t>LIB-DSET-005 API、测试和包</t>
  </si>
  <si>
    <t>WBS-2.01</t>
  </si>
  <si>
    <t>Signal Studio 项目与导入薄壳</t>
  </si>
  <si>
    <t>SignalData/Workbench</t>
  </si>
  <si>
    <t>Signal Studio</t>
  </si>
  <si>
    <t>复用导入和项目基础设施</t>
  </si>
  <si>
    <t>无公共ABI变更</t>
  </si>
  <si>
    <t>否</t>
  </si>
  <si>
    <t>Qt 6</t>
  </si>
  <si>
    <t>应用集成测试</t>
  </si>
  <si>
    <t>signal-studio</t>
  </si>
  <si>
    <t>MS-04</t>
  </si>
  <si>
    <t>P01/W01/W05</t>
  </si>
  <si>
    <t>WBS-2.02</t>
  </si>
  <si>
    <t>宽带、窄带与联动分析编排</t>
  </si>
  <si>
    <t>DSP/Visualization</t>
  </si>
  <si>
    <t>Inference Studio 可复用</t>
  </si>
  <si>
    <t>API消费</t>
  </si>
  <si>
    <t>oneMKL/CUDA</t>
  </si>
  <si>
    <t>AT-05/14/23</t>
  </si>
  <si>
    <t>MS-05</t>
  </si>
  <si>
    <t>P02/P03</t>
  </si>
  <si>
    <t>WBS-3.01</t>
  </si>
  <si>
    <t>第二宿主复用验证</t>
  </si>
  <si>
    <t>Data/DSP/Task/Visualization</t>
  </si>
  <si>
    <t>Signal Generator 薄壳</t>
  </si>
  <si>
    <t>证明非单应用平台</t>
  </si>
  <si>
    <t>兼容门禁</t>
  </si>
  <si>
    <t>是</t>
  </si>
  <si>
    <t>同平台锁</t>
  </si>
  <si>
    <t>多应用复用测试</t>
  </si>
  <si>
    <t>signal-generator-smoke</t>
  </si>
  <si>
    <t>MS-08</t>
  </si>
  <si>
    <t>复用报告与零复制代码审计</t>
  </si>
  <si>
    <t>指标</t>
  </si>
  <si>
    <t>公式</t>
  </si>
  <si>
    <t>工作包总数</t>
  </si>
  <si>
    <t>总估算人周</t>
  </si>
  <si>
    <t>基础能力工作包</t>
  </si>
  <si>
    <t>工作分解结构</t>
  </si>
  <si>
    <t>内容</t>
  </si>
  <si>
    <t>基础能力工作包优先于应用功能。</t>
  </si>
  <si>
    <t>估算为建议基线，不代表已批准资源承诺。</t>
  </si>
  <si>
    <t>工作包完成需同时具备 API、测试、包和文档。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</si>
</sst>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rgb="FFFFFFFF"/>
      <name val="Microsoft YaHei"/>
      <charset val="134"/>
    </font>
    <font>
      <sz val="10"/>
      <name val="Microsoft YaHe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23A5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rgb="FFB7C9D6"/>
      </bottom>
      <diagonal/>
    </border>
    <border>
      <left/>
      <right/>
      <top/>
      <bottom style="hair">
        <color rgb="FFE3EAF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4"/>
  <sheetViews>
    <sheetView showGridLines="0"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14"/>
  <cols>
    <col min="1" max="1" width="14" customWidth="1"/>
    <col min="2" max="2" width="34" customWidth="1"/>
    <col min="3" max="3" width="28" customWidth="1"/>
    <col min="4" max="4" width="20" customWidth="1"/>
    <col min="5" max="5" width="48" customWidth="1"/>
    <col min="6" max="6" width="20" customWidth="1"/>
    <col min="7" max="7" width="12" customWidth="1"/>
    <col min="8" max="8" width="28" customWidth="1"/>
    <col min="9" max="9" width="42" customWidth="1"/>
    <col min="10" max="10" width="30" customWidth="1"/>
    <col min="11" max="11" width="12" customWidth="1"/>
    <col min="12" max="12" width="14" customWidth="1"/>
    <col min="13" max="13" width="12" customWidth="1"/>
    <col min="14" max="14" width="42" customWidth="1"/>
    <col min="15" max="15" width="14" customWidth="1"/>
  </cols>
  <sheetData>
    <row r="1" ht="30" customHeight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29" spans="1:15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2" t="s">
        <v>25</v>
      </c>
      <c r="L2" s="2" t="s">
        <v>26</v>
      </c>
      <c r="M2" s="2">
        <v>1.5</v>
      </c>
      <c r="N2" s="2" t="s">
        <v>27</v>
      </c>
      <c r="O2" s="2" t="s">
        <v>28</v>
      </c>
    </row>
    <row r="3" ht="29" spans="1:15">
      <c r="A3" s="2" t="s">
        <v>29</v>
      </c>
      <c r="B3" s="2" t="s">
        <v>30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21</v>
      </c>
      <c r="H3" s="2" t="s">
        <v>22</v>
      </c>
      <c r="I3" s="2" t="s">
        <v>23</v>
      </c>
      <c r="J3" s="2" t="s">
        <v>24</v>
      </c>
      <c r="K3" s="2" t="s">
        <v>25</v>
      </c>
      <c r="L3" s="2" t="s">
        <v>31</v>
      </c>
      <c r="M3" s="2">
        <v>1.5</v>
      </c>
      <c r="N3" s="2" t="s">
        <v>32</v>
      </c>
      <c r="O3" s="2" t="s">
        <v>28</v>
      </c>
    </row>
    <row r="4" ht="29" spans="1:15">
      <c r="A4" s="2" t="s">
        <v>33</v>
      </c>
      <c r="B4" s="2" t="s">
        <v>34</v>
      </c>
      <c r="C4" s="2" t="s">
        <v>17</v>
      </c>
      <c r="D4" s="2" t="s">
        <v>18</v>
      </c>
      <c r="E4" s="2" t="s">
        <v>19</v>
      </c>
      <c r="F4" s="2" t="s">
        <v>20</v>
      </c>
      <c r="G4" s="2" t="s">
        <v>21</v>
      </c>
      <c r="H4" s="2" t="s">
        <v>22</v>
      </c>
      <c r="I4" s="2" t="s">
        <v>23</v>
      </c>
      <c r="J4" s="2" t="s">
        <v>24</v>
      </c>
      <c r="K4" s="2" t="s">
        <v>25</v>
      </c>
      <c r="L4" s="2" t="s">
        <v>31</v>
      </c>
      <c r="M4" s="2">
        <v>1.5</v>
      </c>
      <c r="N4" s="2" t="s">
        <v>35</v>
      </c>
      <c r="O4" s="2" t="s">
        <v>28</v>
      </c>
    </row>
    <row r="5" ht="29" spans="1:15">
      <c r="A5" s="2" t="s">
        <v>36</v>
      </c>
      <c r="B5" s="2" t="s">
        <v>37</v>
      </c>
      <c r="C5" s="2" t="s">
        <v>17</v>
      </c>
      <c r="D5" s="2" t="s">
        <v>18</v>
      </c>
      <c r="E5" s="2" t="s">
        <v>19</v>
      </c>
      <c r="F5" s="2" t="s">
        <v>20</v>
      </c>
      <c r="G5" s="2" t="s">
        <v>21</v>
      </c>
      <c r="H5" s="2" t="s">
        <v>22</v>
      </c>
      <c r="I5" s="2" t="s">
        <v>23</v>
      </c>
      <c r="J5" s="2" t="s">
        <v>24</v>
      </c>
      <c r="K5" s="2" t="s">
        <v>25</v>
      </c>
      <c r="L5" s="2" t="s">
        <v>31</v>
      </c>
      <c r="M5" s="2">
        <v>1.5</v>
      </c>
      <c r="N5" s="2" t="s">
        <v>38</v>
      </c>
      <c r="O5" s="2" t="s">
        <v>28</v>
      </c>
    </row>
    <row r="6" ht="29" spans="1:15">
      <c r="A6" s="2" t="s">
        <v>39</v>
      </c>
      <c r="B6" s="2" t="s">
        <v>40</v>
      </c>
      <c r="C6" s="2" t="s">
        <v>17</v>
      </c>
      <c r="D6" s="2" t="s">
        <v>18</v>
      </c>
      <c r="E6" s="2" t="s">
        <v>19</v>
      </c>
      <c r="F6" s="2" t="s">
        <v>20</v>
      </c>
      <c r="G6" s="2" t="s">
        <v>21</v>
      </c>
      <c r="H6" s="2" t="s">
        <v>22</v>
      </c>
      <c r="I6" s="2" t="s">
        <v>23</v>
      </c>
      <c r="J6" s="2" t="s">
        <v>24</v>
      </c>
      <c r="K6" s="2" t="s">
        <v>25</v>
      </c>
      <c r="L6" s="2" t="s">
        <v>31</v>
      </c>
      <c r="M6" s="2">
        <v>1.5</v>
      </c>
      <c r="N6" s="2" t="s">
        <v>41</v>
      </c>
      <c r="O6" s="2" t="s">
        <v>28</v>
      </c>
    </row>
    <row r="7" ht="29" spans="1:15">
      <c r="A7" s="2" t="s">
        <v>42</v>
      </c>
      <c r="B7" s="2" t="s">
        <v>43</v>
      </c>
      <c r="C7" s="2" t="s">
        <v>44</v>
      </c>
      <c r="D7" s="2" t="s">
        <v>18</v>
      </c>
      <c r="E7" s="2" t="s">
        <v>45</v>
      </c>
      <c r="F7" s="2" t="s">
        <v>20</v>
      </c>
      <c r="G7" s="2" t="s">
        <v>21</v>
      </c>
      <c r="H7" s="2" t="s">
        <v>22</v>
      </c>
      <c r="I7" s="2" t="s">
        <v>23</v>
      </c>
      <c r="J7" s="2" t="s">
        <v>46</v>
      </c>
      <c r="K7" s="2" t="s">
        <v>25</v>
      </c>
      <c r="L7" s="2" t="s">
        <v>31</v>
      </c>
      <c r="M7" s="2">
        <v>1.5</v>
      </c>
      <c r="N7" s="2" t="s">
        <v>47</v>
      </c>
      <c r="O7" s="2" t="s">
        <v>28</v>
      </c>
    </row>
    <row r="8" ht="29" spans="1:15">
      <c r="A8" s="2" t="s">
        <v>48</v>
      </c>
      <c r="B8" s="2" t="s">
        <v>49</v>
      </c>
      <c r="C8" s="2" t="s">
        <v>44</v>
      </c>
      <c r="D8" s="2" t="s">
        <v>18</v>
      </c>
      <c r="E8" s="2" t="s">
        <v>45</v>
      </c>
      <c r="F8" s="2" t="s">
        <v>20</v>
      </c>
      <c r="G8" s="2" t="s">
        <v>21</v>
      </c>
      <c r="H8" s="2" t="s">
        <v>22</v>
      </c>
      <c r="I8" s="2" t="s">
        <v>23</v>
      </c>
      <c r="J8" s="2" t="s">
        <v>46</v>
      </c>
      <c r="K8" s="2" t="s">
        <v>25</v>
      </c>
      <c r="L8" s="2" t="s">
        <v>31</v>
      </c>
      <c r="M8" s="2">
        <v>1.5</v>
      </c>
      <c r="N8" s="2" t="s">
        <v>50</v>
      </c>
      <c r="O8" s="2" t="s">
        <v>28</v>
      </c>
    </row>
    <row r="9" ht="29" spans="1:15">
      <c r="A9" s="2" t="s">
        <v>51</v>
      </c>
      <c r="B9" s="2" t="s">
        <v>52</v>
      </c>
      <c r="C9" s="2" t="s">
        <v>44</v>
      </c>
      <c r="D9" s="2" t="s">
        <v>18</v>
      </c>
      <c r="E9" s="2" t="s">
        <v>45</v>
      </c>
      <c r="F9" s="2" t="s">
        <v>20</v>
      </c>
      <c r="G9" s="2" t="s">
        <v>21</v>
      </c>
      <c r="H9" s="2" t="s">
        <v>22</v>
      </c>
      <c r="I9" s="2" t="s">
        <v>23</v>
      </c>
      <c r="J9" s="2" t="s">
        <v>46</v>
      </c>
      <c r="K9" s="2" t="s">
        <v>25</v>
      </c>
      <c r="L9" s="2" t="s">
        <v>31</v>
      </c>
      <c r="M9" s="2">
        <v>1.5</v>
      </c>
      <c r="N9" s="2" t="s">
        <v>53</v>
      </c>
      <c r="O9" s="2" t="s">
        <v>28</v>
      </c>
    </row>
    <row r="10" ht="29" spans="1:15">
      <c r="A10" s="2" t="s">
        <v>54</v>
      </c>
      <c r="B10" s="2" t="s">
        <v>55</v>
      </c>
      <c r="C10" s="2" t="s">
        <v>44</v>
      </c>
      <c r="D10" s="2" t="s">
        <v>18</v>
      </c>
      <c r="E10" s="2" t="s">
        <v>45</v>
      </c>
      <c r="F10" s="2" t="s">
        <v>20</v>
      </c>
      <c r="G10" s="2" t="s">
        <v>21</v>
      </c>
      <c r="H10" s="2" t="s">
        <v>22</v>
      </c>
      <c r="I10" s="2" t="s">
        <v>23</v>
      </c>
      <c r="J10" s="2" t="s">
        <v>46</v>
      </c>
      <c r="K10" s="2" t="s">
        <v>25</v>
      </c>
      <c r="L10" s="2" t="s">
        <v>31</v>
      </c>
      <c r="M10" s="2">
        <v>1.5</v>
      </c>
      <c r="N10" s="2" t="s">
        <v>56</v>
      </c>
      <c r="O10" s="2" t="s">
        <v>28</v>
      </c>
    </row>
    <row r="11" ht="29" spans="1:15">
      <c r="A11" s="2" t="s">
        <v>57</v>
      </c>
      <c r="B11" s="2" t="s">
        <v>58</v>
      </c>
      <c r="C11" s="2" t="s">
        <v>44</v>
      </c>
      <c r="D11" s="2" t="s">
        <v>18</v>
      </c>
      <c r="E11" s="2" t="s">
        <v>45</v>
      </c>
      <c r="F11" s="2" t="s">
        <v>20</v>
      </c>
      <c r="G11" s="2" t="s">
        <v>21</v>
      </c>
      <c r="H11" s="2" t="s">
        <v>22</v>
      </c>
      <c r="I11" s="2" t="s">
        <v>23</v>
      </c>
      <c r="J11" s="2" t="s">
        <v>46</v>
      </c>
      <c r="K11" s="2" t="s">
        <v>25</v>
      </c>
      <c r="L11" s="2" t="s">
        <v>31</v>
      </c>
      <c r="M11" s="2">
        <v>1.5</v>
      </c>
      <c r="N11" s="2" t="s">
        <v>59</v>
      </c>
      <c r="O11" s="2" t="s">
        <v>28</v>
      </c>
    </row>
    <row r="12" ht="29" spans="1:15">
      <c r="A12" s="2" t="s">
        <v>60</v>
      </c>
      <c r="B12" s="2" t="s">
        <v>61</v>
      </c>
      <c r="C12" s="2" t="s">
        <v>62</v>
      </c>
      <c r="D12" s="2" t="s">
        <v>18</v>
      </c>
      <c r="E12" s="2" t="s">
        <v>63</v>
      </c>
      <c r="F12" s="2" t="s">
        <v>20</v>
      </c>
      <c r="G12" s="2" t="s">
        <v>21</v>
      </c>
      <c r="H12" s="2" t="s">
        <v>22</v>
      </c>
      <c r="I12" s="2" t="s">
        <v>23</v>
      </c>
      <c r="J12" s="2" t="s">
        <v>64</v>
      </c>
      <c r="K12" s="2" t="s">
        <v>65</v>
      </c>
      <c r="L12" s="2" t="s">
        <v>31</v>
      </c>
      <c r="M12" s="2">
        <v>1.5</v>
      </c>
      <c r="N12" s="2" t="s">
        <v>66</v>
      </c>
      <c r="O12" s="2" t="s">
        <v>28</v>
      </c>
    </row>
    <row r="13" ht="29" spans="1:15">
      <c r="A13" s="2" t="s">
        <v>67</v>
      </c>
      <c r="B13" s="2" t="s">
        <v>68</v>
      </c>
      <c r="C13" s="2" t="s">
        <v>62</v>
      </c>
      <c r="D13" s="2" t="s">
        <v>18</v>
      </c>
      <c r="E13" s="2" t="s">
        <v>63</v>
      </c>
      <c r="F13" s="2" t="s">
        <v>20</v>
      </c>
      <c r="G13" s="2" t="s">
        <v>21</v>
      </c>
      <c r="H13" s="2" t="s">
        <v>22</v>
      </c>
      <c r="I13" s="2" t="s">
        <v>23</v>
      </c>
      <c r="J13" s="2" t="s">
        <v>64</v>
      </c>
      <c r="K13" s="2" t="s">
        <v>65</v>
      </c>
      <c r="L13" s="2" t="s">
        <v>31</v>
      </c>
      <c r="M13" s="2">
        <v>1.5</v>
      </c>
      <c r="N13" s="2" t="s">
        <v>69</v>
      </c>
      <c r="O13" s="2" t="s">
        <v>28</v>
      </c>
    </row>
    <row r="14" ht="29" spans="1:15">
      <c r="A14" s="2" t="s">
        <v>70</v>
      </c>
      <c r="B14" s="2" t="s">
        <v>71</v>
      </c>
      <c r="C14" s="2" t="s">
        <v>62</v>
      </c>
      <c r="D14" s="2" t="s">
        <v>18</v>
      </c>
      <c r="E14" s="2" t="s">
        <v>63</v>
      </c>
      <c r="F14" s="2" t="s">
        <v>20</v>
      </c>
      <c r="G14" s="2" t="s">
        <v>21</v>
      </c>
      <c r="H14" s="2" t="s">
        <v>22</v>
      </c>
      <c r="I14" s="2" t="s">
        <v>23</v>
      </c>
      <c r="J14" s="2" t="s">
        <v>64</v>
      </c>
      <c r="K14" s="2" t="s">
        <v>65</v>
      </c>
      <c r="L14" s="2" t="s">
        <v>31</v>
      </c>
      <c r="M14" s="2">
        <v>1.5</v>
      </c>
      <c r="N14" s="2" t="s">
        <v>72</v>
      </c>
      <c r="O14" s="2" t="s">
        <v>28</v>
      </c>
    </row>
    <row r="15" ht="29" spans="1:15">
      <c r="A15" s="2" t="s">
        <v>73</v>
      </c>
      <c r="B15" s="2" t="s">
        <v>74</v>
      </c>
      <c r="C15" s="2" t="s">
        <v>62</v>
      </c>
      <c r="D15" s="2" t="s">
        <v>18</v>
      </c>
      <c r="E15" s="2" t="s">
        <v>63</v>
      </c>
      <c r="F15" s="2" t="s">
        <v>20</v>
      </c>
      <c r="G15" s="2" t="s">
        <v>21</v>
      </c>
      <c r="H15" s="2" t="s">
        <v>22</v>
      </c>
      <c r="I15" s="2" t="s">
        <v>23</v>
      </c>
      <c r="J15" s="2" t="s">
        <v>64</v>
      </c>
      <c r="K15" s="2" t="s">
        <v>65</v>
      </c>
      <c r="L15" s="2" t="s">
        <v>31</v>
      </c>
      <c r="M15" s="2">
        <v>1.5</v>
      </c>
      <c r="N15" s="2" t="s">
        <v>75</v>
      </c>
      <c r="O15" s="2" t="s">
        <v>28</v>
      </c>
    </row>
    <row r="16" ht="29" spans="1:15">
      <c r="A16" s="2" t="s">
        <v>76</v>
      </c>
      <c r="B16" s="2" t="s">
        <v>77</v>
      </c>
      <c r="C16" s="2" t="s">
        <v>62</v>
      </c>
      <c r="D16" s="2" t="s">
        <v>18</v>
      </c>
      <c r="E16" s="2" t="s">
        <v>63</v>
      </c>
      <c r="F16" s="2" t="s">
        <v>20</v>
      </c>
      <c r="G16" s="2" t="s">
        <v>21</v>
      </c>
      <c r="H16" s="2" t="s">
        <v>22</v>
      </c>
      <c r="I16" s="2" t="s">
        <v>23</v>
      </c>
      <c r="J16" s="2" t="s">
        <v>64</v>
      </c>
      <c r="K16" s="2" t="s">
        <v>65</v>
      </c>
      <c r="L16" s="2" t="s">
        <v>31</v>
      </c>
      <c r="M16" s="2">
        <v>1.5</v>
      </c>
      <c r="N16" s="2" t="s">
        <v>78</v>
      </c>
      <c r="O16" s="2" t="s">
        <v>28</v>
      </c>
    </row>
    <row r="17" ht="29" spans="1:15">
      <c r="A17" s="2" t="s">
        <v>79</v>
      </c>
      <c r="B17" s="2" t="s">
        <v>80</v>
      </c>
      <c r="C17" s="2" t="s">
        <v>81</v>
      </c>
      <c r="D17" s="2" t="s">
        <v>18</v>
      </c>
      <c r="E17" s="2" t="s">
        <v>82</v>
      </c>
      <c r="F17" s="2" t="s">
        <v>20</v>
      </c>
      <c r="G17" s="2" t="s">
        <v>21</v>
      </c>
      <c r="H17" s="2" t="s">
        <v>22</v>
      </c>
      <c r="I17" s="2" t="s">
        <v>23</v>
      </c>
      <c r="J17" s="2" t="s">
        <v>83</v>
      </c>
      <c r="K17" s="2" t="s">
        <v>65</v>
      </c>
      <c r="L17" s="2" t="s">
        <v>31</v>
      </c>
      <c r="M17" s="2">
        <v>1.5</v>
      </c>
      <c r="N17" s="2" t="s">
        <v>84</v>
      </c>
      <c r="O17" s="2" t="s">
        <v>28</v>
      </c>
    </row>
    <row r="18" ht="29" spans="1:15">
      <c r="A18" s="2" t="s">
        <v>85</v>
      </c>
      <c r="B18" s="2" t="s">
        <v>86</v>
      </c>
      <c r="C18" s="2" t="s">
        <v>81</v>
      </c>
      <c r="D18" s="2" t="s">
        <v>18</v>
      </c>
      <c r="E18" s="2" t="s">
        <v>82</v>
      </c>
      <c r="F18" s="2" t="s">
        <v>20</v>
      </c>
      <c r="G18" s="2" t="s">
        <v>21</v>
      </c>
      <c r="H18" s="2" t="s">
        <v>22</v>
      </c>
      <c r="I18" s="2" t="s">
        <v>23</v>
      </c>
      <c r="J18" s="2" t="s">
        <v>83</v>
      </c>
      <c r="K18" s="2" t="s">
        <v>65</v>
      </c>
      <c r="L18" s="2" t="s">
        <v>31</v>
      </c>
      <c r="M18" s="2">
        <v>1.5</v>
      </c>
      <c r="N18" s="2" t="s">
        <v>87</v>
      </c>
      <c r="O18" s="2" t="s">
        <v>28</v>
      </c>
    </row>
    <row r="19" ht="29" spans="1:15">
      <c r="A19" s="2" t="s">
        <v>88</v>
      </c>
      <c r="B19" s="2" t="s">
        <v>89</v>
      </c>
      <c r="C19" s="2" t="s">
        <v>81</v>
      </c>
      <c r="D19" s="2" t="s">
        <v>18</v>
      </c>
      <c r="E19" s="2" t="s">
        <v>82</v>
      </c>
      <c r="F19" s="2" t="s">
        <v>20</v>
      </c>
      <c r="G19" s="2" t="s">
        <v>21</v>
      </c>
      <c r="H19" s="2" t="s">
        <v>22</v>
      </c>
      <c r="I19" s="2" t="s">
        <v>23</v>
      </c>
      <c r="J19" s="2" t="s">
        <v>83</v>
      </c>
      <c r="K19" s="2" t="s">
        <v>65</v>
      </c>
      <c r="L19" s="2" t="s">
        <v>31</v>
      </c>
      <c r="M19" s="2">
        <v>1.5</v>
      </c>
      <c r="N19" s="2" t="s">
        <v>90</v>
      </c>
      <c r="O19" s="2" t="s">
        <v>28</v>
      </c>
    </row>
    <row r="20" ht="29" spans="1:15">
      <c r="A20" s="2" t="s">
        <v>91</v>
      </c>
      <c r="B20" s="2" t="s">
        <v>92</v>
      </c>
      <c r="C20" s="2" t="s">
        <v>81</v>
      </c>
      <c r="D20" s="2" t="s">
        <v>18</v>
      </c>
      <c r="E20" s="2" t="s">
        <v>82</v>
      </c>
      <c r="F20" s="2" t="s">
        <v>20</v>
      </c>
      <c r="G20" s="2" t="s">
        <v>21</v>
      </c>
      <c r="H20" s="2" t="s">
        <v>22</v>
      </c>
      <c r="I20" s="2" t="s">
        <v>23</v>
      </c>
      <c r="J20" s="2" t="s">
        <v>83</v>
      </c>
      <c r="K20" s="2" t="s">
        <v>65</v>
      </c>
      <c r="L20" s="2" t="s">
        <v>31</v>
      </c>
      <c r="M20" s="2">
        <v>1.5</v>
      </c>
      <c r="N20" s="2" t="s">
        <v>93</v>
      </c>
      <c r="O20" s="2" t="s">
        <v>28</v>
      </c>
    </row>
    <row r="21" ht="29" spans="1:15">
      <c r="A21" s="2" t="s">
        <v>94</v>
      </c>
      <c r="B21" s="2" t="s">
        <v>95</v>
      </c>
      <c r="C21" s="2" t="s">
        <v>81</v>
      </c>
      <c r="D21" s="2" t="s">
        <v>18</v>
      </c>
      <c r="E21" s="2" t="s">
        <v>82</v>
      </c>
      <c r="F21" s="2" t="s">
        <v>20</v>
      </c>
      <c r="G21" s="2" t="s">
        <v>21</v>
      </c>
      <c r="H21" s="2" t="s">
        <v>22</v>
      </c>
      <c r="I21" s="2" t="s">
        <v>23</v>
      </c>
      <c r="J21" s="2" t="s">
        <v>83</v>
      </c>
      <c r="K21" s="2" t="s">
        <v>65</v>
      </c>
      <c r="L21" s="2" t="s">
        <v>31</v>
      </c>
      <c r="M21" s="2">
        <v>1.5</v>
      </c>
      <c r="N21" s="2" t="s">
        <v>96</v>
      </c>
      <c r="O21" s="2" t="s">
        <v>28</v>
      </c>
    </row>
    <row r="22" ht="29" spans="1:15">
      <c r="A22" s="2" t="s">
        <v>97</v>
      </c>
      <c r="B22" s="2" t="s">
        <v>98</v>
      </c>
      <c r="C22" s="2" t="s">
        <v>99</v>
      </c>
      <c r="D22" s="2" t="s">
        <v>18</v>
      </c>
      <c r="E22" s="2" t="s">
        <v>100</v>
      </c>
      <c r="F22" s="2" t="s">
        <v>20</v>
      </c>
      <c r="G22" s="2" t="s">
        <v>21</v>
      </c>
      <c r="H22" s="2" t="s">
        <v>22</v>
      </c>
      <c r="I22" s="2" t="s">
        <v>23</v>
      </c>
      <c r="J22" s="2" t="s">
        <v>101</v>
      </c>
      <c r="K22" s="2" t="s">
        <v>25</v>
      </c>
      <c r="L22" s="2" t="s">
        <v>31</v>
      </c>
      <c r="M22" s="2">
        <v>1.5</v>
      </c>
      <c r="N22" s="2" t="s">
        <v>102</v>
      </c>
      <c r="O22" s="2" t="s">
        <v>28</v>
      </c>
    </row>
    <row r="23" ht="29" spans="1:15">
      <c r="A23" s="2" t="s">
        <v>103</v>
      </c>
      <c r="B23" s="2" t="s">
        <v>104</v>
      </c>
      <c r="C23" s="2" t="s">
        <v>99</v>
      </c>
      <c r="D23" s="2" t="s">
        <v>18</v>
      </c>
      <c r="E23" s="2" t="s">
        <v>100</v>
      </c>
      <c r="F23" s="2" t="s">
        <v>20</v>
      </c>
      <c r="G23" s="2" t="s">
        <v>21</v>
      </c>
      <c r="H23" s="2" t="s">
        <v>22</v>
      </c>
      <c r="I23" s="2" t="s">
        <v>23</v>
      </c>
      <c r="J23" s="2" t="s">
        <v>101</v>
      </c>
      <c r="K23" s="2" t="s">
        <v>25</v>
      </c>
      <c r="L23" s="2" t="s">
        <v>31</v>
      </c>
      <c r="M23" s="2">
        <v>1.5</v>
      </c>
      <c r="N23" s="2" t="s">
        <v>105</v>
      </c>
      <c r="O23" s="2" t="s">
        <v>28</v>
      </c>
    </row>
    <row r="24" ht="29" spans="1:15">
      <c r="A24" s="2" t="s">
        <v>106</v>
      </c>
      <c r="B24" s="2" t="s">
        <v>107</v>
      </c>
      <c r="C24" s="2" t="s">
        <v>99</v>
      </c>
      <c r="D24" s="2" t="s">
        <v>18</v>
      </c>
      <c r="E24" s="2" t="s">
        <v>100</v>
      </c>
      <c r="F24" s="2" t="s">
        <v>20</v>
      </c>
      <c r="G24" s="2" t="s">
        <v>21</v>
      </c>
      <c r="H24" s="2" t="s">
        <v>22</v>
      </c>
      <c r="I24" s="2" t="s">
        <v>23</v>
      </c>
      <c r="J24" s="2" t="s">
        <v>101</v>
      </c>
      <c r="K24" s="2" t="s">
        <v>25</v>
      </c>
      <c r="L24" s="2" t="s">
        <v>31</v>
      </c>
      <c r="M24" s="2">
        <v>1.5</v>
      </c>
      <c r="N24" s="2" t="s">
        <v>108</v>
      </c>
      <c r="O24" s="2" t="s">
        <v>28</v>
      </c>
    </row>
    <row r="25" ht="29" spans="1:15">
      <c r="A25" s="2" t="s">
        <v>109</v>
      </c>
      <c r="B25" s="2" t="s">
        <v>110</v>
      </c>
      <c r="C25" s="2" t="s">
        <v>99</v>
      </c>
      <c r="D25" s="2" t="s">
        <v>18</v>
      </c>
      <c r="E25" s="2" t="s">
        <v>100</v>
      </c>
      <c r="F25" s="2" t="s">
        <v>20</v>
      </c>
      <c r="G25" s="2" t="s">
        <v>21</v>
      </c>
      <c r="H25" s="2" t="s">
        <v>22</v>
      </c>
      <c r="I25" s="2" t="s">
        <v>23</v>
      </c>
      <c r="J25" s="2" t="s">
        <v>101</v>
      </c>
      <c r="K25" s="2" t="s">
        <v>25</v>
      </c>
      <c r="L25" s="2" t="s">
        <v>31</v>
      </c>
      <c r="M25" s="2">
        <v>1.5</v>
      </c>
      <c r="N25" s="2" t="s">
        <v>111</v>
      </c>
      <c r="O25" s="2" t="s">
        <v>28</v>
      </c>
    </row>
    <row r="26" ht="29" spans="1:15">
      <c r="A26" s="2" t="s">
        <v>112</v>
      </c>
      <c r="B26" s="2" t="s">
        <v>113</v>
      </c>
      <c r="C26" s="2" t="s">
        <v>99</v>
      </c>
      <c r="D26" s="2" t="s">
        <v>18</v>
      </c>
      <c r="E26" s="2" t="s">
        <v>100</v>
      </c>
      <c r="F26" s="2" t="s">
        <v>20</v>
      </c>
      <c r="G26" s="2" t="s">
        <v>21</v>
      </c>
      <c r="H26" s="2" t="s">
        <v>22</v>
      </c>
      <c r="I26" s="2" t="s">
        <v>23</v>
      </c>
      <c r="J26" s="2" t="s">
        <v>101</v>
      </c>
      <c r="K26" s="2" t="s">
        <v>25</v>
      </c>
      <c r="L26" s="2" t="s">
        <v>31</v>
      </c>
      <c r="M26" s="2">
        <v>1.5</v>
      </c>
      <c r="N26" s="2" t="s">
        <v>114</v>
      </c>
      <c r="O26" s="2" t="s">
        <v>28</v>
      </c>
    </row>
    <row r="27" ht="29" spans="1:15">
      <c r="A27" s="2" t="s">
        <v>115</v>
      </c>
      <c r="B27" s="2" t="s">
        <v>116</v>
      </c>
      <c r="C27" s="2" t="s">
        <v>117</v>
      </c>
      <c r="D27" s="2" t="s">
        <v>18</v>
      </c>
      <c r="E27" s="2" t="s">
        <v>118</v>
      </c>
      <c r="F27" s="2" t="s">
        <v>20</v>
      </c>
      <c r="G27" s="2" t="s">
        <v>21</v>
      </c>
      <c r="H27" s="2" t="s">
        <v>22</v>
      </c>
      <c r="I27" s="2" t="s">
        <v>23</v>
      </c>
      <c r="J27" s="2" t="s">
        <v>119</v>
      </c>
      <c r="K27" s="2" t="s">
        <v>120</v>
      </c>
      <c r="L27" s="2" t="s">
        <v>31</v>
      </c>
      <c r="M27" s="2">
        <v>1.5</v>
      </c>
      <c r="N27" s="2" t="s">
        <v>121</v>
      </c>
      <c r="O27" s="2" t="s">
        <v>28</v>
      </c>
    </row>
    <row r="28" ht="29" spans="1:15">
      <c r="A28" s="2" t="s">
        <v>122</v>
      </c>
      <c r="B28" s="2" t="s">
        <v>123</v>
      </c>
      <c r="C28" s="2" t="s">
        <v>117</v>
      </c>
      <c r="D28" s="2" t="s">
        <v>18</v>
      </c>
      <c r="E28" s="2" t="s">
        <v>118</v>
      </c>
      <c r="F28" s="2" t="s">
        <v>20</v>
      </c>
      <c r="G28" s="2" t="s">
        <v>21</v>
      </c>
      <c r="H28" s="2" t="s">
        <v>22</v>
      </c>
      <c r="I28" s="2" t="s">
        <v>23</v>
      </c>
      <c r="J28" s="2" t="s">
        <v>119</v>
      </c>
      <c r="K28" s="2" t="s">
        <v>120</v>
      </c>
      <c r="L28" s="2" t="s">
        <v>31</v>
      </c>
      <c r="M28" s="2">
        <v>1.5</v>
      </c>
      <c r="N28" s="2" t="s">
        <v>124</v>
      </c>
      <c r="O28" s="2" t="s">
        <v>28</v>
      </c>
    </row>
    <row r="29" ht="29" spans="1:15">
      <c r="A29" s="2" t="s">
        <v>125</v>
      </c>
      <c r="B29" s="2" t="s">
        <v>126</v>
      </c>
      <c r="C29" s="2" t="s">
        <v>117</v>
      </c>
      <c r="D29" s="2" t="s">
        <v>18</v>
      </c>
      <c r="E29" s="2" t="s">
        <v>118</v>
      </c>
      <c r="F29" s="2" t="s">
        <v>20</v>
      </c>
      <c r="G29" s="2" t="s">
        <v>21</v>
      </c>
      <c r="H29" s="2" t="s">
        <v>22</v>
      </c>
      <c r="I29" s="2" t="s">
        <v>23</v>
      </c>
      <c r="J29" s="2" t="s">
        <v>119</v>
      </c>
      <c r="K29" s="2" t="s">
        <v>120</v>
      </c>
      <c r="L29" s="2" t="s">
        <v>31</v>
      </c>
      <c r="M29" s="2">
        <v>1.5</v>
      </c>
      <c r="N29" s="2" t="s">
        <v>127</v>
      </c>
      <c r="O29" s="2" t="s">
        <v>28</v>
      </c>
    </row>
    <row r="30" ht="29" spans="1:15">
      <c r="A30" s="2" t="s">
        <v>128</v>
      </c>
      <c r="B30" s="2" t="s">
        <v>129</v>
      </c>
      <c r="C30" s="2" t="s">
        <v>117</v>
      </c>
      <c r="D30" s="2" t="s">
        <v>18</v>
      </c>
      <c r="E30" s="2" t="s">
        <v>118</v>
      </c>
      <c r="F30" s="2" t="s">
        <v>20</v>
      </c>
      <c r="G30" s="2" t="s">
        <v>21</v>
      </c>
      <c r="H30" s="2" t="s">
        <v>22</v>
      </c>
      <c r="I30" s="2" t="s">
        <v>23</v>
      </c>
      <c r="J30" s="2" t="s">
        <v>119</v>
      </c>
      <c r="K30" s="2" t="s">
        <v>120</v>
      </c>
      <c r="L30" s="2" t="s">
        <v>31</v>
      </c>
      <c r="M30" s="2">
        <v>1.5</v>
      </c>
      <c r="N30" s="2" t="s">
        <v>130</v>
      </c>
      <c r="O30" s="2" t="s">
        <v>28</v>
      </c>
    </row>
    <row r="31" ht="29" spans="1:15">
      <c r="A31" s="2" t="s">
        <v>131</v>
      </c>
      <c r="B31" s="2" t="s">
        <v>132</v>
      </c>
      <c r="C31" s="2" t="s">
        <v>117</v>
      </c>
      <c r="D31" s="2" t="s">
        <v>18</v>
      </c>
      <c r="E31" s="2" t="s">
        <v>118</v>
      </c>
      <c r="F31" s="2" t="s">
        <v>20</v>
      </c>
      <c r="G31" s="2" t="s">
        <v>21</v>
      </c>
      <c r="H31" s="2" t="s">
        <v>22</v>
      </c>
      <c r="I31" s="2" t="s">
        <v>23</v>
      </c>
      <c r="J31" s="2" t="s">
        <v>119</v>
      </c>
      <c r="K31" s="2" t="s">
        <v>120</v>
      </c>
      <c r="L31" s="2" t="s">
        <v>31</v>
      </c>
      <c r="M31" s="2">
        <v>1.5</v>
      </c>
      <c r="N31" s="2" t="s">
        <v>133</v>
      </c>
      <c r="O31" s="2" t="s">
        <v>28</v>
      </c>
    </row>
    <row r="32" ht="29" spans="1:15">
      <c r="A32" s="2" t="s">
        <v>134</v>
      </c>
      <c r="B32" s="2" t="s">
        <v>135</v>
      </c>
      <c r="C32" s="2" t="s">
        <v>136</v>
      </c>
      <c r="D32" s="2" t="s">
        <v>18</v>
      </c>
      <c r="E32" s="2" t="s">
        <v>137</v>
      </c>
      <c r="F32" s="2" t="s">
        <v>20</v>
      </c>
      <c r="G32" s="2" t="s">
        <v>21</v>
      </c>
      <c r="H32" s="2" t="s">
        <v>22</v>
      </c>
      <c r="I32" s="2" t="s">
        <v>23</v>
      </c>
      <c r="J32" s="2" t="s">
        <v>138</v>
      </c>
      <c r="K32" s="2" t="s">
        <v>120</v>
      </c>
      <c r="L32" s="2" t="s">
        <v>31</v>
      </c>
      <c r="M32" s="2">
        <v>1.5</v>
      </c>
      <c r="N32" s="2" t="s">
        <v>139</v>
      </c>
      <c r="O32" s="2" t="s">
        <v>28</v>
      </c>
    </row>
    <row r="33" ht="29" spans="1:15">
      <c r="A33" s="2" t="s">
        <v>140</v>
      </c>
      <c r="B33" s="2" t="s">
        <v>141</v>
      </c>
      <c r="C33" s="2" t="s">
        <v>136</v>
      </c>
      <c r="D33" s="2" t="s">
        <v>18</v>
      </c>
      <c r="E33" s="2" t="s">
        <v>137</v>
      </c>
      <c r="F33" s="2" t="s">
        <v>20</v>
      </c>
      <c r="G33" s="2" t="s">
        <v>21</v>
      </c>
      <c r="H33" s="2" t="s">
        <v>22</v>
      </c>
      <c r="I33" s="2" t="s">
        <v>23</v>
      </c>
      <c r="J33" s="2" t="s">
        <v>138</v>
      </c>
      <c r="K33" s="2" t="s">
        <v>120</v>
      </c>
      <c r="L33" s="2" t="s">
        <v>31</v>
      </c>
      <c r="M33" s="2">
        <v>1.5</v>
      </c>
      <c r="N33" s="2" t="s">
        <v>142</v>
      </c>
      <c r="O33" s="2" t="s">
        <v>28</v>
      </c>
    </row>
    <row r="34" ht="29" spans="1:15">
      <c r="A34" s="2" t="s">
        <v>143</v>
      </c>
      <c r="B34" s="2" t="s">
        <v>144</v>
      </c>
      <c r="C34" s="2" t="s">
        <v>136</v>
      </c>
      <c r="D34" s="2" t="s">
        <v>18</v>
      </c>
      <c r="E34" s="2" t="s">
        <v>137</v>
      </c>
      <c r="F34" s="2" t="s">
        <v>20</v>
      </c>
      <c r="G34" s="2" t="s">
        <v>21</v>
      </c>
      <c r="H34" s="2" t="s">
        <v>22</v>
      </c>
      <c r="I34" s="2" t="s">
        <v>23</v>
      </c>
      <c r="J34" s="2" t="s">
        <v>138</v>
      </c>
      <c r="K34" s="2" t="s">
        <v>120</v>
      </c>
      <c r="L34" s="2" t="s">
        <v>31</v>
      </c>
      <c r="M34" s="2">
        <v>1.5</v>
      </c>
      <c r="N34" s="2" t="s">
        <v>145</v>
      </c>
      <c r="O34" s="2" t="s">
        <v>28</v>
      </c>
    </row>
    <row r="35" ht="29" spans="1:15">
      <c r="A35" s="2" t="s">
        <v>146</v>
      </c>
      <c r="B35" s="2" t="s">
        <v>147</v>
      </c>
      <c r="C35" s="2" t="s">
        <v>136</v>
      </c>
      <c r="D35" s="2" t="s">
        <v>18</v>
      </c>
      <c r="E35" s="2" t="s">
        <v>137</v>
      </c>
      <c r="F35" s="2" t="s">
        <v>20</v>
      </c>
      <c r="G35" s="2" t="s">
        <v>21</v>
      </c>
      <c r="H35" s="2" t="s">
        <v>22</v>
      </c>
      <c r="I35" s="2" t="s">
        <v>23</v>
      </c>
      <c r="J35" s="2" t="s">
        <v>138</v>
      </c>
      <c r="K35" s="2" t="s">
        <v>120</v>
      </c>
      <c r="L35" s="2" t="s">
        <v>31</v>
      </c>
      <c r="M35" s="2">
        <v>1.5</v>
      </c>
      <c r="N35" s="2" t="s">
        <v>148</v>
      </c>
      <c r="O35" s="2" t="s">
        <v>28</v>
      </c>
    </row>
    <row r="36" ht="29" spans="1:15">
      <c r="A36" s="2" t="s">
        <v>149</v>
      </c>
      <c r="B36" s="2" t="s">
        <v>150</v>
      </c>
      <c r="C36" s="2" t="s">
        <v>136</v>
      </c>
      <c r="D36" s="2" t="s">
        <v>18</v>
      </c>
      <c r="E36" s="2" t="s">
        <v>137</v>
      </c>
      <c r="F36" s="2" t="s">
        <v>20</v>
      </c>
      <c r="G36" s="2" t="s">
        <v>21</v>
      </c>
      <c r="H36" s="2" t="s">
        <v>22</v>
      </c>
      <c r="I36" s="2" t="s">
        <v>23</v>
      </c>
      <c r="J36" s="2" t="s">
        <v>138</v>
      </c>
      <c r="K36" s="2" t="s">
        <v>120</v>
      </c>
      <c r="L36" s="2" t="s">
        <v>31</v>
      </c>
      <c r="M36" s="2">
        <v>1.5</v>
      </c>
      <c r="N36" s="2" t="s">
        <v>151</v>
      </c>
      <c r="O36" s="2" t="s">
        <v>28</v>
      </c>
    </row>
    <row r="37" ht="29" spans="1:15">
      <c r="A37" s="2" t="s">
        <v>152</v>
      </c>
      <c r="B37" s="2" t="s">
        <v>153</v>
      </c>
      <c r="C37" s="2" t="s">
        <v>154</v>
      </c>
      <c r="D37" s="2" t="s">
        <v>18</v>
      </c>
      <c r="E37" s="2" t="s">
        <v>155</v>
      </c>
      <c r="F37" s="2" t="s">
        <v>20</v>
      </c>
      <c r="G37" s="2" t="s">
        <v>21</v>
      </c>
      <c r="H37" s="2" t="s">
        <v>22</v>
      </c>
      <c r="I37" s="2" t="s">
        <v>23</v>
      </c>
      <c r="J37" s="2" t="s">
        <v>156</v>
      </c>
      <c r="K37" s="2" t="s">
        <v>157</v>
      </c>
      <c r="L37" s="2" t="s">
        <v>31</v>
      </c>
      <c r="M37" s="2">
        <v>1.5</v>
      </c>
      <c r="N37" s="2" t="s">
        <v>158</v>
      </c>
      <c r="O37" s="2" t="s">
        <v>28</v>
      </c>
    </row>
    <row r="38" ht="29" spans="1:15">
      <c r="A38" s="2" t="s">
        <v>159</v>
      </c>
      <c r="B38" s="2" t="s">
        <v>160</v>
      </c>
      <c r="C38" s="2" t="s">
        <v>154</v>
      </c>
      <c r="D38" s="2" t="s">
        <v>18</v>
      </c>
      <c r="E38" s="2" t="s">
        <v>155</v>
      </c>
      <c r="F38" s="2" t="s">
        <v>20</v>
      </c>
      <c r="G38" s="2" t="s">
        <v>21</v>
      </c>
      <c r="H38" s="2" t="s">
        <v>22</v>
      </c>
      <c r="I38" s="2" t="s">
        <v>23</v>
      </c>
      <c r="J38" s="2" t="s">
        <v>156</v>
      </c>
      <c r="K38" s="2" t="s">
        <v>157</v>
      </c>
      <c r="L38" s="2" t="s">
        <v>31</v>
      </c>
      <c r="M38" s="2">
        <v>1.5</v>
      </c>
      <c r="N38" s="2" t="s">
        <v>161</v>
      </c>
      <c r="O38" s="2" t="s">
        <v>28</v>
      </c>
    </row>
    <row r="39" ht="29" spans="1:15">
      <c r="A39" s="2" t="s">
        <v>162</v>
      </c>
      <c r="B39" s="2" t="s">
        <v>163</v>
      </c>
      <c r="C39" s="2" t="s">
        <v>154</v>
      </c>
      <c r="D39" s="2" t="s">
        <v>18</v>
      </c>
      <c r="E39" s="2" t="s">
        <v>155</v>
      </c>
      <c r="F39" s="2" t="s">
        <v>20</v>
      </c>
      <c r="G39" s="2" t="s">
        <v>21</v>
      </c>
      <c r="H39" s="2" t="s">
        <v>22</v>
      </c>
      <c r="I39" s="2" t="s">
        <v>23</v>
      </c>
      <c r="J39" s="2" t="s">
        <v>156</v>
      </c>
      <c r="K39" s="2" t="s">
        <v>157</v>
      </c>
      <c r="L39" s="2" t="s">
        <v>31</v>
      </c>
      <c r="M39" s="2">
        <v>1.5</v>
      </c>
      <c r="N39" s="2" t="s">
        <v>164</v>
      </c>
      <c r="O39" s="2" t="s">
        <v>28</v>
      </c>
    </row>
    <row r="40" ht="29" spans="1:15">
      <c r="A40" s="2" t="s">
        <v>165</v>
      </c>
      <c r="B40" s="2" t="s">
        <v>166</v>
      </c>
      <c r="C40" s="2" t="s">
        <v>154</v>
      </c>
      <c r="D40" s="2" t="s">
        <v>18</v>
      </c>
      <c r="E40" s="2" t="s">
        <v>155</v>
      </c>
      <c r="F40" s="2" t="s">
        <v>20</v>
      </c>
      <c r="G40" s="2" t="s">
        <v>21</v>
      </c>
      <c r="H40" s="2" t="s">
        <v>22</v>
      </c>
      <c r="I40" s="2" t="s">
        <v>23</v>
      </c>
      <c r="J40" s="2" t="s">
        <v>156</v>
      </c>
      <c r="K40" s="2" t="s">
        <v>157</v>
      </c>
      <c r="L40" s="2" t="s">
        <v>31</v>
      </c>
      <c r="M40" s="2">
        <v>1.5</v>
      </c>
      <c r="N40" s="2" t="s">
        <v>167</v>
      </c>
      <c r="O40" s="2" t="s">
        <v>28</v>
      </c>
    </row>
    <row r="41" ht="29" spans="1:15">
      <c r="A41" s="2" t="s">
        <v>168</v>
      </c>
      <c r="B41" s="2" t="s">
        <v>169</v>
      </c>
      <c r="C41" s="2" t="s">
        <v>154</v>
      </c>
      <c r="D41" s="2" t="s">
        <v>18</v>
      </c>
      <c r="E41" s="2" t="s">
        <v>155</v>
      </c>
      <c r="F41" s="2" t="s">
        <v>20</v>
      </c>
      <c r="G41" s="2" t="s">
        <v>21</v>
      </c>
      <c r="H41" s="2" t="s">
        <v>22</v>
      </c>
      <c r="I41" s="2" t="s">
        <v>23</v>
      </c>
      <c r="J41" s="2" t="s">
        <v>156</v>
      </c>
      <c r="K41" s="2" t="s">
        <v>157</v>
      </c>
      <c r="L41" s="2" t="s">
        <v>31</v>
      </c>
      <c r="M41" s="2">
        <v>1.5</v>
      </c>
      <c r="N41" s="2" t="s">
        <v>170</v>
      </c>
      <c r="O41" s="2" t="s">
        <v>28</v>
      </c>
    </row>
    <row r="42" ht="29" spans="1:15">
      <c r="A42" s="2" t="s">
        <v>171</v>
      </c>
      <c r="B42" s="2" t="s">
        <v>172</v>
      </c>
      <c r="C42" s="2" t="s">
        <v>173</v>
      </c>
      <c r="D42" s="2" t="s">
        <v>18</v>
      </c>
      <c r="E42" s="2" t="s">
        <v>174</v>
      </c>
      <c r="F42" s="2" t="s">
        <v>20</v>
      </c>
      <c r="G42" s="2" t="s">
        <v>21</v>
      </c>
      <c r="H42" s="2" t="s">
        <v>22</v>
      </c>
      <c r="I42" s="2" t="s">
        <v>23</v>
      </c>
      <c r="J42" s="2" t="s">
        <v>175</v>
      </c>
      <c r="K42" s="2" t="s">
        <v>157</v>
      </c>
      <c r="L42" s="2" t="s">
        <v>31</v>
      </c>
      <c r="M42" s="2">
        <v>1.5</v>
      </c>
      <c r="N42" s="2" t="s">
        <v>176</v>
      </c>
      <c r="O42" s="2" t="s">
        <v>28</v>
      </c>
    </row>
    <row r="43" ht="29" spans="1:15">
      <c r="A43" s="2" t="s">
        <v>177</v>
      </c>
      <c r="B43" s="2" t="s">
        <v>178</v>
      </c>
      <c r="C43" s="2" t="s">
        <v>173</v>
      </c>
      <c r="D43" s="2" t="s">
        <v>18</v>
      </c>
      <c r="E43" s="2" t="s">
        <v>174</v>
      </c>
      <c r="F43" s="2" t="s">
        <v>20</v>
      </c>
      <c r="G43" s="2" t="s">
        <v>21</v>
      </c>
      <c r="H43" s="2" t="s">
        <v>22</v>
      </c>
      <c r="I43" s="2" t="s">
        <v>23</v>
      </c>
      <c r="J43" s="2" t="s">
        <v>175</v>
      </c>
      <c r="K43" s="2" t="s">
        <v>157</v>
      </c>
      <c r="L43" s="2" t="s">
        <v>31</v>
      </c>
      <c r="M43" s="2">
        <v>1.5</v>
      </c>
      <c r="N43" s="2" t="s">
        <v>179</v>
      </c>
      <c r="O43" s="2" t="s">
        <v>28</v>
      </c>
    </row>
    <row r="44" ht="29" spans="1:15">
      <c r="A44" s="2" t="s">
        <v>180</v>
      </c>
      <c r="B44" s="2" t="s">
        <v>181</v>
      </c>
      <c r="C44" s="2" t="s">
        <v>173</v>
      </c>
      <c r="D44" s="2" t="s">
        <v>18</v>
      </c>
      <c r="E44" s="2" t="s">
        <v>174</v>
      </c>
      <c r="F44" s="2" t="s">
        <v>20</v>
      </c>
      <c r="G44" s="2" t="s">
        <v>21</v>
      </c>
      <c r="H44" s="2" t="s">
        <v>22</v>
      </c>
      <c r="I44" s="2" t="s">
        <v>23</v>
      </c>
      <c r="J44" s="2" t="s">
        <v>175</v>
      </c>
      <c r="K44" s="2" t="s">
        <v>157</v>
      </c>
      <c r="L44" s="2" t="s">
        <v>31</v>
      </c>
      <c r="M44" s="2">
        <v>1.5</v>
      </c>
      <c r="N44" s="2" t="s">
        <v>182</v>
      </c>
      <c r="O44" s="2" t="s">
        <v>28</v>
      </c>
    </row>
    <row r="45" ht="29" spans="1:15">
      <c r="A45" s="2" t="s">
        <v>183</v>
      </c>
      <c r="B45" s="2" t="s">
        <v>184</v>
      </c>
      <c r="C45" s="2" t="s">
        <v>173</v>
      </c>
      <c r="D45" s="2" t="s">
        <v>18</v>
      </c>
      <c r="E45" s="2" t="s">
        <v>174</v>
      </c>
      <c r="F45" s="2" t="s">
        <v>20</v>
      </c>
      <c r="G45" s="2" t="s">
        <v>21</v>
      </c>
      <c r="H45" s="2" t="s">
        <v>22</v>
      </c>
      <c r="I45" s="2" t="s">
        <v>23</v>
      </c>
      <c r="J45" s="2" t="s">
        <v>175</v>
      </c>
      <c r="K45" s="2" t="s">
        <v>157</v>
      </c>
      <c r="L45" s="2" t="s">
        <v>31</v>
      </c>
      <c r="M45" s="2">
        <v>1.5</v>
      </c>
      <c r="N45" s="2" t="s">
        <v>185</v>
      </c>
      <c r="O45" s="2" t="s">
        <v>28</v>
      </c>
    </row>
    <row r="46" ht="29" spans="1:15">
      <c r="A46" s="2" t="s">
        <v>186</v>
      </c>
      <c r="B46" s="2" t="s">
        <v>187</v>
      </c>
      <c r="C46" s="2" t="s">
        <v>173</v>
      </c>
      <c r="D46" s="2" t="s">
        <v>18</v>
      </c>
      <c r="E46" s="2" t="s">
        <v>174</v>
      </c>
      <c r="F46" s="2" t="s">
        <v>20</v>
      </c>
      <c r="G46" s="2" t="s">
        <v>21</v>
      </c>
      <c r="H46" s="2" t="s">
        <v>22</v>
      </c>
      <c r="I46" s="2" t="s">
        <v>23</v>
      </c>
      <c r="J46" s="2" t="s">
        <v>175</v>
      </c>
      <c r="K46" s="2" t="s">
        <v>157</v>
      </c>
      <c r="L46" s="2" t="s">
        <v>31</v>
      </c>
      <c r="M46" s="2">
        <v>1.5</v>
      </c>
      <c r="N46" s="2" t="s">
        <v>188</v>
      </c>
      <c r="O46" s="2" t="s">
        <v>28</v>
      </c>
    </row>
    <row r="47" ht="29" spans="1:15">
      <c r="A47" s="2" t="s">
        <v>189</v>
      </c>
      <c r="B47" s="2" t="s">
        <v>190</v>
      </c>
      <c r="C47" s="2" t="s">
        <v>191</v>
      </c>
      <c r="D47" s="2" t="s">
        <v>18</v>
      </c>
      <c r="E47" s="2" t="s">
        <v>192</v>
      </c>
      <c r="F47" s="2" t="s">
        <v>20</v>
      </c>
      <c r="G47" s="2" t="s">
        <v>21</v>
      </c>
      <c r="H47" s="2" t="s">
        <v>22</v>
      </c>
      <c r="I47" s="2" t="s">
        <v>23</v>
      </c>
      <c r="J47" s="2" t="s">
        <v>193</v>
      </c>
      <c r="K47" s="2" t="s">
        <v>157</v>
      </c>
      <c r="L47" s="2" t="s">
        <v>31</v>
      </c>
      <c r="M47" s="2">
        <v>1.5</v>
      </c>
      <c r="N47" s="2" t="s">
        <v>194</v>
      </c>
      <c r="O47" s="2" t="s">
        <v>28</v>
      </c>
    </row>
    <row r="48" ht="29" spans="1:15">
      <c r="A48" s="2" t="s">
        <v>195</v>
      </c>
      <c r="B48" s="2" t="s">
        <v>196</v>
      </c>
      <c r="C48" s="2" t="s">
        <v>191</v>
      </c>
      <c r="D48" s="2" t="s">
        <v>18</v>
      </c>
      <c r="E48" s="2" t="s">
        <v>192</v>
      </c>
      <c r="F48" s="2" t="s">
        <v>20</v>
      </c>
      <c r="G48" s="2" t="s">
        <v>21</v>
      </c>
      <c r="H48" s="2" t="s">
        <v>22</v>
      </c>
      <c r="I48" s="2" t="s">
        <v>23</v>
      </c>
      <c r="J48" s="2" t="s">
        <v>193</v>
      </c>
      <c r="K48" s="2" t="s">
        <v>157</v>
      </c>
      <c r="L48" s="2" t="s">
        <v>31</v>
      </c>
      <c r="M48" s="2">
        <v>1.5</v>
      </c>
      <c r="N48" s="2" t="s">
        <v>197</v>
      </c>
      <c r="O48" s="2" t="s">
        <v>28</v>
      </c>
    </row>
    <row r="49" ht="29" spans="1:15">
      <c r="A49" s="2" t="s">
        <v>198</v>
      </c>
      <c r="B49" s="2" t="s">
        <v>199</v>
      </c>
      <c r="C49" s="2" t="s">
        <v>191</v>
      </c>
      <c r="D49" s="2" t="s">
        <v>18</v>
      </c>
      <c r="E49" s="2" t="s">
        <v>192</v>
      </c>
      <c r="F49" s="2" t="s">
        <v>20</v>
      </c>
      <c r="G49" s="2" t="s">
        <v>21</v>
      </c>
      <c r="H49" s="2" t="s">
        <v>22</v>
      </c>
      <c r="I49" s="2" t="s">
        <v>23</v>
      </c>
      <c r="J49" s="2" t="s">
        <v>193</v>
      </c>
      <c r="K49" s="2" t="s">
        <v>157</v>
      </c>
      <c r="L49" s="2" t="s">
        <v>31</v>
      </c>
      <c r="M49" s="2">
        <v>1.5</v>
      </c>
      <c r="N49" s="2" t="s">
        <v>200</v>
      </c>
      <c r="O49" s="2" t="s">
        <v>28</v>
      </c>
    </row>
    <row r="50" ht="29" spans="1:15">
      <c r="A50" s="2" t="s">
        <v>201</v>
      </c>
      <c r="B50" s="2" t="s">
        <v>202</v>
      </c>
      <c r="C50" s="2" t="s">
        <v>191</v>
      </c>
      <c r="D50" s="2" t="s">
        <v>18</v>
      </c>
      <c r="E50" s="2" t="s">
        <v>192</v>
      </c>
      <c r="F50" s="2" t="s">
        <v>20</v>
      </c>
      <c r="G50" s="2" t="s">
        <v>21</v>
      </c>
      <c r="H50" s="2" t="s">
        <v>22</v>
      </c>
      <c r="I50" s="2" t="s">
        <v>23</v>
      </c>
      <c r="J50" s="2" t="s">
        <v>193</v>
      </c>
      <c r="K50" s="2" t="s">
        <v>157</v>
      </c>
      <c r="L50" s="2" t="s">
        <v>31</v>
      </c>
      <c r="M50" s="2">
        <v>1.5</v>
      </c>
      <c r="N50" s="2" t="s">
        <v>203</v>
      </c>
      <c r="O50" s="2" t="s">
        <v>28</v>
      </c>
    </row>
    <row r="51" ht="29" spans="1:15">
      <c r="A51" s="2" t="s">
        <v>204</v>
      </c>
      <c r="B51" s="2" t="s">
        <v>205</v>
      </c>
      <c r="C51" s="2" t="s">
        <v>191</v>
      </c>
      <c r="D51" s="2" t="s">
        <v>18</v>
      </c>
      <c r="E51" s="2" t="s">
        <v>192</v>
      </c>
      <c r="F51" s="2" t="s">
        <v>20</v>
      </c>
      <c r="G51" s="2" t="s">
        <v>21</v>
      </c>
      <c r="H51" s="2" t="s">
        <v>22</v>
      </c>
      <c r="I51" s="2" t="s">
        <v>23</v>
      </c>
      <c r="J51" s="2" t="s">
        <v>193</v>
      </c>
      <c r="K51" s="2" t="s">
        <v>157</v>
      </c>
      <c r="L51" s="2" t="s">
        <v>31</v>
      </c>
      <c r="M51" s="2">
        <v>1.5</v>
      </c>
      <c r="N51" s="2" t="s">
        <v>206</v>
      </c>
      <c r="O51" s="2" t="s">
        <v>28</v>
      </c>
    </row>
    <row r="52" ht="14.5" spans="1:15">
      <c r="A52" s="2" t="s">
        <v>207</v>
      </c>
      <c r="B52" s="2" t="s">
        <v>208</v>
      </c>
      <c r="C52" s="2" t="s">
        <v>209</v>
      </c>
      <c r="D52" s="2" t="s">
        <v>210</v>
      </c>
      <c r="E52" s="2" t="s">
        <v>211</v>
      </c>
      <c r="F52" s="2" t="s">
        <v>212</v>
      </c>
      <c r="G52" s="2" t="s">
        <v>213</v>
      </c>
      <c r="H52" s="2" t="s">
        <v>214</v>
      </c>
      <c r="I52" s="2" t="s">
        <v>215</v>
      </c>
      <c r="J52" s="2" t="s">
        <v>216</v>
      </c>
      <c r="K52" s="2" t="s">
        <v>217</v>
      </c>
      <c r="L52" s="2" t="s">
        <v>15</v>
      </c>
      <c r="M52" s="2">
        <v>4</v>
      </c>
      <c r="N52" s="2" t="s">
        <v>218</v>
      </c>
      <c r="O52" s="2" t="s">
        <v>28</v>
      </c>
    </row>
    <row r="53" ht="14.5" spans="1:15">
      <c r="A53" s="2" t="s">
        <v>219</v>
      </c>
      <c r="B53" s="2" t="s">
        <v>220</v>
      </c>
      <c r="C53" s="2" t="s">
        <v>221</v>
      </c>
      <c r="D53" s="2" t="s">
        <v>210</v>
      </c>
      <c r="E53" s="2" t="s">
        <v>222</v>
      </c>
      <c r="F53" s="2" t="s">
        <v>223</v>
      </c>
      <c r="G53" s="2" t="s">
        <v>213</v>
      </c>
      <c r="H53" s="2" t="s">
        <v>224</v>
      </c>
      <c r="I53" s="2" t="s">
        <v>225</v>
      </c>
      <c r="J53" s="2" t="s">
        <v>216</v>
      </c>
      <c r="K53" s="2" t="s">
        <v>226</v>
      </c>
      <c r="L53" s="2" t="s">
        <v>207</v>
      </c>
      <c r="M53" s="2">
        <v>8</v>
      </c>
      <c r="N53" s="2" t="s">
        <v>227</v>
      </c>
      <c r="O53" s="2" t="s">
        <v>28</v>
      </c>
    </row>
    <row r="54" ht="14.5" spans="1:15">
      <c r="A54" s="2" t="s">
        <v>228</v>
      </c>
      <c r="B54" s="2" t="s">
        <v>229</v>
      </c>
      <c r="C54" s="2" t="s">
        <v>230</v>
      </c>
      <c r="D54" s="2" t="s">
        <v>231</v>
      </c>
      <c r="E54" s="2" t="s">
        <v>232</v>
      </c>
      <c r="F54" s="2" t="s">
        <v>233</v>
      </c>
      <c r="G54" s="2" t="s">
        <v>234</v>
      </c>
      <c r="H54" s="2" t="s">
        <v>235</v>
      </c>
      <c r="I54" s="2" t="s">
        <v>236</v>
      </c>
      <c r="J54" s="2" t="s">
        <v>237</v>
      </c>
      <c r="K54" s="2" t="s">
        <v>238</v>
      </c>
      <c r="L54" s="2" t="s">
        <v>204</v>
      </c>
      <c r="M54" s="2">
        <v>3</v>
      </c>
      <c r="N54" s="2" t="s">
        <v>239</v>
      </c>
      <c r="O54" s="2" t="s">
        <v>28</v>
      </c>
    </row>
  </sheetData>
  <autoFilter xmlns:etc="http://www.wps.cn/officeDocument/2017/etCustomData" ref="A1:O54" etc:filterBottomFollowUsedRange="0">
    <extLst/>
  </autoFilter>
  <dataValidations count="1">
    <dataValidation type="list" sqref="O2:O54">
      <formula1>"计划中,进行中,已完成,阻塞"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showGridLines="0" workbookViewId="0">
      <pane ySplit="1" topLeftCell="A2" activePane="bottomLeft" state="frozen"/>
      <selection/>
      <selection pane="bottomLeft" activeCell="A1" sqref="A1"/>
    </sheetView>
  </sheetViews>
  <sheetFormatPr defaultColWidth="9" defaultRowHeight="14" outlineLevelRow="3" outlineLevelCol="1"/>
  <cols>
    <col min="1" max="1" width="30" customWidth="1"/>
    <col min="2" max="2" width="18" customWidth="1"/>
  </cols>
  <sheetData>
    <row r="1" ht="30" customHeight="1" spans="1:2">
      <c r="A1" s="1" t="s">
        <v>240</v>
      </c>
      <c r="B1" s="1" t="s">
        <v>241</v>
      </c>
    </row>
    <row r="2" ht="14.5" spans="1:2">
      <c r="A2" s="2" t="s">
        <v>242</v>
      </c>
      <c r="B2" s="2">
        <f>COUNTA(WBS!A2:A54)</f>
        <v>53</v>
      </c>
    </row>
    <row r="3" ht="14.5" spans="1:2">
      <c r="A3" s="2" t="s">
        <v>243</v>
      </c>
      <c r="B3" s="2">
        <f>SUM(WBS!M2:M54)</f>
        <v>90</v>
      </c>
    </row>
    <row r="4" ht="14.5" spans="1:2">
      <c r="A4" s="2" t="s">
        <v>244</v>
      </c>
      <c r="B4" s="2">
        <f>COUNTIF(WBS!D2:D54,"平台")</f>
        <v>50</v>
      </c>
    </row>
  </sheetData>
  <autoFilter xmlns:etc="http://www.wps.cn/officeDocument/2017/etCustomData" ref="A1:B4" etc:filterBottomFollowUsedRange="0"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showGridLines="0" workbookViewId="0">
      <pane ySplit="1" topLeftCell="A2" activePane="bottomLeft" state="frozen"/>
      <selection/>
      <selection pane="bottomLeft" activeCell="A1" sqref="A1"/>
    </sheetView>
  </sheetViews>
  <sheetFormatPr defaultColWidth="9" defaultRowHeight="14" outlineLevelRow="3" outlineLevelCol="1"/>
  <cols>
    <col min="1" max="1" width="12" customWidth="1"/>
    <col min="2" max="2" width="110" customWidth="1"/>
  </cols>
  <sheetData>
    <row r="1" ht="30" customHeight="1" spans="1:2">
      <c r="A1" s="1" t="s">
        <v>245</v>
      </c>
      <c r="B1" s="1" t="s">
        <v>246</v>
      </c>
    </row>
    <row r="2" ht="14.5" spans="1:2">
      <c r="A2" s="2">
        <v>1</v>
      </c>
      <c r="B2" s="2" t="s">
        <v>247</v>
      </c>
    </row>
    <row r="3" ht="14.5" spans="1:2">
      <c r="A3" s="2">
        <v>2</v>
      </c>
      <c r="B3" s="2" t="s">
        <v>248</v>
      </c>
    </row>
    <row r="4" ht="14.5" spans="1:2">
      <c r="A4" s="2">
        <v>3</v>
      </c>
      <c r="B4" s="2" t="s">
        <v>249</v>
      </c>
    </row>
  </sheetData>
  <autoFilter xmlns:etc="http://www.wps.cn/officeDocument/2017/etCustomData" ref="A1:B4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WBS</vt:lpstr>
      <vt:lpstr>统计</vt:lpstr>
      <vt:lpstr>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Huang Hao</cp:lastModifiedBy>
  <dcterms:created xsi:type="dcterms:W3CDTF">2026-07-22T06:10:00Z</dcterms:created>
  <dcterms:modified xsi:type="dcterms:W3CDTF">2026-07-22T06:10:53Z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9696552E69A446D1AB8E0B371A733BAF_12</vt:lpwstr>
  </property>
  <property fmtid="{D5CDD505-2E9C-101B-9397-08002B2CF9AE}" pid="3" name="KSOProductBuildVer">
    <vt:lpwstr>2052-12.1.0.26884</vt:lpwstr>
  </property>
  <property fmtid="{D5CDD505-2E9C-101B-9397-08002B2CF9AE}" pid="4" name="CalculationRule">
    <vt:i4>0</vt:i4>
  </property>
</Properties>
</file>